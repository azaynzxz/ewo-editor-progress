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ess_VideoEditor" sheetId="1" r:id="rId5"/>
    <sheet state="visible" name="Attendance_VideoEditor" sheetId="2" r:id="rId6"/>
    <sheet state="visible" name="Progress_Illustrator" sheetId="3" r:id="rId7"/>
    <sheet state="visible" name="Attendance_Illustrator" sheetId="4" r:id="rId8"/>
    <sheet state="visible" name="Upcoming_Deadline" sheetId="5" r:id="rId9"/>
    <sheet state="visible" name="Cuti"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tc={1c2edd24-fbe2-4bce-8bca-397768fcd88b}</author>
    <author>tc={d6e370dd-e82a-4e95-8066-aa902fd13d1a}</author>
  </authors>
  <commentList>
    <comment authorId="0" xr:uid="{1c2edd24-fbe2-4bce-8bca-397768fcd88b}" ref="G125">
      <text>
        <t xml:space="preserve">[Threaded comment]
 Your version of Excel allows you to read this threaded comment; however, any edits to it will get removed if the file is opened in a newer version of Excel. Learn more: https://go.microsoft.com/fwlink/?linkid=870924
Comment:
	@ravandafargani@gmail.com
Assigned to ravandafargani@gmail.com
</t>
      </text>
    </comment>
    <comment authorId="1" xr:uid="{d6e370dd-e82a-4e95-8066-aa902fd13d1a}" ref="G123">
      <text>
        <t xml:space="preserve">[Threaded comment]
 Your version of Excel allows you to read this threaded comment; however, any edits to it will get removed if the file is opened in a newer version of Excel. Learn more: https://go.microsoft.com/fwlink/?linkid=870924
Comment:
	@ravandafargani@gmail.com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(Hari)</t>
      </text>
    </comment>
    <comment authorId="0" ref="J1">
      <text>
        <t xml:space="preserve">Ini alasan / notes tambahan dari yang mengajukan cuti</t>
      </text>
    </comment>
    <comment authorId="0" ref="L1">
      <text>
        <t xml:space="preserve">Berikan pesan ke pegawai terkait status pengajuan, contoh :
"Selamat berlibur, jangan lupa oleh-oleh"
"Cuti di tolak karena melebihi batas cuti yang di izinkan perusahaan"</t>
      </text>
    </comment>
  </commentList>
</comments>
</file>

<file path=xl/sharedStrings.xml><?xml version="1.0" encoding="utf-8"?>
<sst xmlns="http://schemas.openxmlformats.org/spreadsheetml/2006/main" count="2288" uniqueCount="1208">
  <si>
    <t>No</t>
  </si>
  <si>
    <t>Tanggal</t>
  </si>
  <si>
    <t>Editor</t>
  </si>
  <si>
    <t>Judul</t>
  </si>
  <si>
    <t>Klien</t>
  </si>
  <si>
    <t>Jumlah_Scene</t>
  </si>
  <si>
    <t>Comment</t>
  </si>
  <si>
    <t>Screenshoot</t>
  </si>
  <si>
    <t>Faqih</t>
  </si>
  <si>
    <t>Dutch East Indies</t>
  </si>
  <si>
    <t>Angelo</t>
  </si>
  <si>
    <t>https://drive.google.com/file/d/1CgWsDj5nPV1zt89VKpgfe_VoCLBRimrg/view?usp=drivesdk</t>
  </si>
  <si>
    <t>Zayn</t>
  </si>
  <si>
    <t>Every 18 Street Rank</t>
  </si>
  <si>
    <t>Zheng</t>
  </si>
  <si>
    <t>Aga pusing ngasi transisi, beberapa asset bg sama karakternya kepotong jadi perlu di edit dlu di photoshop</t>
  </si>
  <si>
    <t>https://drive.google.com/file/d/13e3mbwGetXah42ZEzDXGdiZ05akJhYkL/view?usp=drivesdk</t>
  </si>
  <si>
    <t>Dadan</t>
  </si>
  <si>
    <t>Wakes Up at 5 AM</t>
  </si>
  <si>
    <t>Allan</t>
  </si>
  <si>
    <t>kayaknya ilustrator baru ya? saran buat ke ilustrator, penamaan asetnya lebih disamain kyk ilustrator" lainnya... jangan langsung pake nama asetnya aja.. sisanya dah mantab</t>
  </si>
  <si>
    <t>https://drive.google.com/file/d/10MxR4A1wvA5J2wYZffw7vEY6Gyww9WrS/view?usp=drivesdk</t>
  </si>
  <si>
    <t>Deutch</t>
  </si>
  <si>
    <t>Michael</t>
  </si>
  <si>
    <t>saran buat illustrator... asetnya kalo emang gk perlu di gerakin berarti disatuin aja.. jangan dipisah, biar gak kebanyakan layer aset.</t>
  </si>
  <si>
    <t>https://drive.google.com/file/d/1gmfGod_Ok8cUYLxF28leFTjNLOOt4S5Q/view?usp=drivesdk</t>
  </si>
  <si>
    <t>Banyak transisi, banyak aset yang perlu di edit manua; di photoshop buat pasin transisinya, sama sering mati lampu</t>
  </si>
  <si>
    <t>https://drive.google.com/file/d/1IIOkW-m4hX7EJkKbIhEopF7RaB1roq7E/view?usp=drivesdk</t>
  </si>
  <si>
    <t>ari</t>
  </si>
  <si>
    <t>Kiaseng</t>
  </si>
  <si>
    <t>Julia</t>
  </si>
  <si>
    <t>punten puh ngeditnya masih menglelet skali, (+kelamaan otak atik remote ke pc)</t>
  </si>
  <si>
    <t>https://drive.google.com/file/d/1mEJrcAc6SQBpXkJJeEIugnzA6Ya_HqHK/view?usp=drivesdk</t>
  </si>
  <si>
    <t>Labor Laws</t>
  </si>
  <si>
    <t>Alex</t>
  </si>
  <si>
    <t>Ini scene nya kelamaan, ilustrator perlu gambar lebih effort si cuma balik lagi ke klien kalo ok ya alhamdulilah</t>
  </si>
  <si>
    <t>https://drive.google.com/file/d/1d-H3eZ4oK764smsT6eisYqt8ivMsKYOy/view?usp=drivesdk</t>
  </si>
  <si>
    <t>https://drive.google.com/file/d/1WyYlZ00Laf5tndji-MfW-7CZhPX4EBp8/view?usp=drivesdk</t>
  </si>
  <si>
    <t>Bagon</t>
  </si>
  <si>
    <t>Simon</t>
  </si>
  <si>
    <t>https://drive.google.com/file/d/1wAZmT1bp0mpV9iHf_lu6mAk37lrTFtb5/view?usp=drivesdk</t>
  </si>
  <si>
    <t>Monkey Tries Meditation</t>
  </si>
  <si>
    <t>gaada</t>
  </si>
  <si>
    <t>https://drive.google.com/file/d/1t5Sy90R4ORiraVgkbw0iO_8yeMtXawSE/view?usp=drivesdk</t>
  </si>
  <si>
    <t xml:space="preserve">PLS ILUSTRATOR JGN KEBANYAKAN LAYER, + NOTE YG JELAS :") NAMA LAYER JG ADA YG RANCU JD BINGUNG HEHE MF KAPSLOK
</t>
  </si>
  <si>
    <t>https://drive.google.com/file/d/1acBeK6yHIBaCNJwgNivEhSOOMGngpoXP/view?usp=drivesdk</t>
  </si>
  <si>
    <t>Valentine’s Day in Tudor</t>
  </si>
  <si>
    <t>Ryan</t>
  </si>
  <si>
    <t>https://drive.google.com/file/d/1ynnMgTOTFURIpukTOnjXffKrQZJucCCG/view?usp=drivesdk</t>
  </si>
  <si>
    <t>Triad</t>
  </si>
  <si>
    <t>Wing</t>
  </si>
  <si>
    <t>https://drive.google.com/file/d/1Ogw5hGgVBGhTb9izNcc7-Ypq0NywkQBJ/view?usp=drivesdk</t>
  </si>
  <si>
    <t>https://drive.google.com/file/d/1-XzALwTxJ0FTK16dCypIfo0uAXb7SGSs/view?usp=drivesdk</t>
  </si>
  <si>
    <t>midwife</t>
  </si>
  <si>
    <t>https://drive.google.com/file/d/1_eIB5pVR6XunICagutHPT2-5SKBKiT2p/view?usp=drivesdk</t>
  </si>
  <si>
    <t>terrifying creature</t>
  </si>
  <si>
    <t>Jorge</t>
  </si>
  <si>
    <t>https://drive.google.com/file/d/1cDyCkprqI5sKO_XBi1rJE1NeVGS0Uc0R/view?usp=drivesdk</t>
  </si>
  <si>
    <t>breeding dlave</t>
  </si>
  <si>
    <t>* aset masih ada yang kepotong
* aset tangan/badan harusnya dipisah kalo mau digerakin
* notenya gausah dipisah antar (s)
* tulisan note kurang jelas</t>
  </si>
  <si>
    <t>https://drive.google.com/file/d/1FAP2vZKZ40dxnEZ7vbO7ZWDHXSKL5lyo/view?usp=drivesdk</t>
  </si>
  <si>
    <t>https://drive.google.com/file/d/1jnJxSUd065f-WPbQC4SOqEjnhk6rBf8V/view?usp=drivesdk</t>
  </si>
  <si>
    <t>https://drive.google.com/file/d/17c-mbsRfTIS2VZ20xglsg4lochDPnaUZ/view?usp=drivesdk</t>
  </si>
  <si>
    <t>Slave Midwife</t>
  </si>
  <si>
    <t>https://drive.google.com/file/d/1t5ry-KsQXa71f_6dmqeWeotRJEM3voGk/view?usp=drivesdk</t>
  </si>
  <si>
    <t>Be a Harem Girl (in Ottoman Empire)</t>
  </si>
  <si>
    <t>https://drive.google.com/file/d/113taAlFVu6kS4xvvd_Chj6YWxEDBdhi9/view?usp=drivesdk</t>
  </si>
  <si>
    <t>https://drive.google.com/file/d/1ZKgi7xxiz8I09jTFEmhyBoMESN-5h2wq/view?usp=drivesdk</t>
  </si>
  <si>
    <t>Terrifying Creatures That Forced Entire Villages to Disappear</t>
  </si>
  <si>
    <t>https://drive.google.com/file/d/1Af5L3WUzfHvu4Ase6rKBL4QUHYaNaWT9/view?usp=drivesdk</t>
  </si>
  <si>
    <t>Pleasure Slave In Every Culture</t>
  </si>
  <si>
    <t>https://drive.google.com/file/d/1kGsZESdUeEw6f_1nqpeOtNGv1CCcti9q/view?usp=drivesdk</t>
  </si>
  <si>
    <t>Crappy Crown Intro</t>
  </si>
  <si>
    <t>Ini scene sedikit tapi aga lama karena perlu di adjust comp nya aga geser2 tangan crappy nya. Tiap scene perlu lipsync dan perlu pilah2 aset lama untuk nyari karakter nya buat di include di versi update ini</t>
  </si>
  <si>
    <t>https://drive.google.com/file/d/1Ii5OWhtRa-2OHoSDK6kTx35TZVmGV8Ab/view?usp=drivesdk</t>
  </si>
  <si>
    <t>Panda Explains</t>
  </si>
  <si>
    <t>Amanda</t>
  </si>
  <si>
    <t>Susah setting rigging nya belum terbiasa</t>
  </si>
  <si>
    <t>https://drive.google.com/file/d/15K59VBea9oiQjYcn9aUqLoWeDnoBrBa7/view?usp=drivesdk</t>
  </si>
  <si>
    <t>10 queen</t>
  </si>
  <si>
    <t>https://drive.google.com/file/d/1R8I3Y0hqm3CpymZacdsvoN22vCMUdvCJ/view?usp=drivesdk</t>
  </si>
  <si>
    <t>https://drive.google.com/file/d/1G0mEqJU-Dj-AY_Qpt574mUeUAD1A3izn/view?usp=drivesdk</t>
  </si>
  <si>
    <t>brazilian favela</t>
  </si>
  <si>
    <t>https://drive.google.com/file/d/11J2wV3WuY6bSIki4VvK-AUsm_fRsASOe/view?usp=drivesdk</t>
  </si>
  <si>
    <t>Brazilian Favela Gang</t>
  </si>
  <si>
    <t>Bang Imam plz kalo ngaplod jangan bolong2, sama kek susah bgt kalo di buat Scene ABC</t>
  </si>
  <si>
    <t>https://drive.google.com/file/d/117_dbjIBCkDJ69UL-4nD19PvDnBtLsMz/view?usp=drivesdk</t>
  </si>
  <si>
    <t>https://drive.google.com/file/d/1QBzSCfDyWqQK0SEW2OPnuhVOveyUMFlO/view?usp=drivesdk</t>
  </si>
  <si>
    <t>mimikyu</t>
  </si>
  <si>
    <t>https://drive.google.com/file/d/1nfnyMOZGWnPPTrTfoax2DJxenepgRf-B/view?usp=drivesdk</t>
  </si>
  <si>
    <t>Deep Sea Monsters</t>
  </si>
  <si>
    <t>https://drive.google.com/file/d/1UpfTgURp7KQBycM66rFjpv_grhXPg5g5/view?usp=drivesdk</t>
  </si>
  <si>
    <t>Gay In Every Culture</t>
  </si>
  <si>
    <t>https://drive.google.com/file/d/1boTVX6OxNAPjxMy0gcb-E-irsgmI9xFz/view?usp=drivesdk</t>
  </si>
  <si>
    <t>https://drive.google.com/file/d/1ZWOuAOxM7rn6vTuqEwsTUP8iheHpMsQ8/view?usp=drivesdk</t>
  </si>
  <si>
    <t>Record Deal</t>
  </si>
  <si>
    <t>Saran</t>
  </si>
  <si>
    <t>https://drive.google.com/file/d/1P7P9sr-FaFfWZ71RDizekmEyUvYNH__Z/view?usp=drivesdk</t>
  </si>
  <si>
    <t>Manananggal</t>
  </si>
  <si>
    <t>Internal</t>
  </si>
  <si>
    <t>75/150</t>
  </si>
  <si>
    <t>https://drive.google.com/file/d/1270iop-GzxQxYmoykCfB7p-45GNhYIVK/view?usp=drivesdk</t>
  </si>
  <si>
    <t>Alice</t>
  </si>
  <si>
    <t>25/83</t>
  </si>
  <si>
    <t>https://drive.google.com/file/d/1anekctKcrKWeOHbA0XZUxODpq7jZhPMM/view?usp=drivesdk</t>
  </si>
  <si>
    <t>Soucuyant</t>
  </si>
  <si>
    <t>https://drive.google.com/file/d/16yPuJw-eV-qHK_ft38YDKhEz5gLcaow4/view?usp=drivesdk</t>
  </si>
  <si>
    <t>Anas</t>
  </si>
  <si>
    <t>The Algorithm Wants Monkey Addicted (Here's How He Escaped)</t>
  </si>
  <si>
    <t xml:space="preserve">Asset yang ready sejauh ini baru 30 saja </t>
  </si>
  <si>
    <t>https://drive.google.com/file/d/1yXeUnaqfyJgmK10id8PAkhbBpiXRwmAb/view?usp=drivesdk</t>
  </si>
  <si>
    <t>Manangal</t>
  </si>
  <si>
    <t>finish animation, progress sfx.. nunggu vo additional baru bisa dikirim besok dari rehan</t>
  </si>
  <si>
    <t>https://drive.google.com/file/d/1YMM-K0a5GOfqiv4x3XPKM7weeP_Y21VH/view?usp=drivesdk</t>
  </si>
  <si>
    <t>horrifying experiments</t>
  </si>
  <si>
    <t>bang mike kalo kasih note mungkin bisa lebih tebel dikit brush nya, sama note s1,s2,s3,dst gausah dipisah layer. selain itu udah mantep</t>
  </si>
  <si>
    <t>https://drive.google.com/file/d/1VLNucuq7bFz7CNAwNzu7qoVOpHW0dbA0/view?usp=drivesdk</t>
  </si>
  <si>
    <t>https://drive.google.com/file/d/1gmAyvSqUHqj6T-qXy-5PxRsq3iRFHxr1/view?usp=drivesdk</t>
  </si>
  <si>
    <t>https://drive.google.com/file/d/1LaEAjVIyrsXmpBIfXwYfXvVPEBNUOIZU/view?usp=drivesdk</t>
  </si>
  <si>
    <t>Horrifying Experiments</t>
  </si>
  <si>
    <t>https://drive.google.com/file/d/1O9AeVxoPlijEXQtzRuR76IwxmtuW6NK7/view?usp=drivesdk</t>
  </si>
  <si>
    <t>Sound Effects</t>
  </si>
  <si>
    <t>https://drive.google.com/file/d/1-XBWhp0bTvSBma_670KDVM4lbIghn8Yx/view?usp=drivesdk</t>
  </si>
  <si>
    <t>Roman Army</t>
  </si>
  <si>
    <t>Julia (130)</t>
  </si>
  <si>
    <t>Ilustrasi Dian masih susah di gerakin</t>
  </si>
  <si>
    <t>https://drive.google.com/file/d/1Q4o3TvwjHyRPsibfjlXgr-TBnf9sLcBp/view?usp=drivesdk</t>
  </si>
  <si>
    <t>Jorge (10)</t>
  </si>
  <si>
    <t>https://drive.google.com/file/d/13Ixs8BKKbNGnt-XOjDOVJCPqCwKETDLk/view?usp=drivesdk</t>
  </si>
  <si>
    <t>Horrifying Experiments, Record Deal</t>
  </si>
  <si>
    <t>Jorge (13), saran (87)</t>
  </si>
  <si>
    <t>https://drive.google.com/file/d/1o9E8TKrtFIqOGsPEfIQRmzBBvbn1MWzF/view?usp=drivesdk</t>
  </si>
  <si>
    <t>Roman Army, The Algorithm Wants Monkey Addicted</t>
  </si>
  <si>
    <t>Julia (6), Allan (98)</t>
  </si>
  <si>
    <t>https://drive.google.com/file/d/1hHA7DSfXOU5667hlTmBl77G7ma-d5lyy/view?usp=drivesdk</t>
  </si>
  <si>
    <t>Sarah (95)</t>
  </si>
  <si>
    <t>https://drive.google.com/file/d/1yjxEXPNf1uaEbpNFgbJi8SYkmq3wbL2f/view?usp=drivesdk</t>
  </si>
  <si>
    <t>Record Label, Manananggal, Balmond</t>
  </si>
  <si>
    <t>saran (20), Internal (50), internal 2 (50)</t>
  </si>
  <si>
    <t>https://drive.google.com/file/d/1UZvP6iV0aX_HShGuZ0ZzCFG_QGc1hgEh/view?usp=drivesdk</t>
  </si>
  <si>
    <t>Wu Zetian</t>
  </si>
  <si>
    <t>Ryan (100)</t>
  </si>
  <si>
    <t>20 scene lagi yang kak Ros (mata sudah ngantuk). Lanjut besok sahoor</t>
  </si>
  <si>
    <t>https://drive.google.com/file/d/1vohW0QSsEhyrbzpd955hIeTG1BEdgEoA/view?usp=drivesdk</t>
  </si>
  <si>
    <t>Ryan (130)</t>
  </si>
  <si>
    <t>Bang derrick, masih kebanyakan pop up, jadi agak bingung mau improve movement nya</t>
  </si>
  <si>
    <t>https://drive.google.com/file/d/1X3DmDRbWOUSqkczcHfVmbzTHkas-h96l/view?usp=drivesdk</t>
  </si>
  <si>
    <t>42. Why Monkey Bonds With His Phone More Than People, Horrifying Experiment</t>
  </si>
  <si>
    <t>Allan (85), Jorge (17)</t>
  </si>
  <si>
    <t>https://drive.google.com/file/d/1PLT5a3RocIb4v2SWW_yjhjBkQcYCb6cl/view?usp=drivesdk</t>
  </si>
  <si>
    <t>Roman Army, Alice, Temple Prostitute</t>
  </si>
  <si>
    <t>Julia (26), Internal (36), Angelo (40)</t>
  </si>
  <si>
    <t>First of all untuk prohjek MLBB itu ga terlalu -paham gimana eksekusi nya
Roman army itu aga banyak karna scene yang di revisi jg banyak
Angelo progress 40 scne sejauh ini aman si</t>
  </si>
  <si>
    <t>https://drive.google.com/file/d/1hqLUcxCTA04U916-iKweF5OK0CuAfCHJ/view?usp=drivesdk</t>
  </si>
  <si>
    <t>Why Monkey Bonds With His Phone More Than People [revisi], Horrifying Experiments [remake]</t>
  </si>
  <si>
    <t>Allan (5), Jorge (66)</t>
  </si>
  <si>
    <t>https://drive.google.com/file/d/10yc9G8K9z4cASWiXB0koabWF80byQxIB/view?usp=drivesdk</t>
  </si>
  <si>
    <t>Horrifying Experiments, Temple Prostitute, Revised Dubai</t>
  </si>
  <si>
    <t>Jorge (16), Angelo (47), Christen (20)</t>
  </si>
  <si>
    <t>https://drive.google.com/file/d/1Qfhy0oBdSUb_1UC-3-9qhF9lqkANUxYI/view?usp=drivesdk</t>
  </si>
  <si>
    <t>Temple Prostitute, Horrifying Experiment</t>
  </si>
  <si>
    <t>Angelo (90), Jorge (3)</t>
  </si>
  <si>
    <t>Progressnya aga lambat sbb masi nutorin editor baru + ngerevisi SFX dan nambahin beberapa scene jorge</t>
  </si>
  <si>
    <t>https://drive.google.com/file/d/1OPO_gZIHZXncNH6cwb0REUt6PhbKBafK/view?usp=drivesdk</t>
  </si>
  <si>
    <t>Temple Prostitute, Elizabeth Bathory</t>
  </si>
  <si>
    <t>Angelo (83), Ryan (19)</t>
  </si>
  <si>
    <t>https://drive.google.com/file/d/1tgP4Mxxmxga0rQGV5QFXsfrkI3WHsh0g/view?usp=drivesdk</t>
  </si>
  <si>
    <t>Horryfing Experiment, Temple Prostitute in ancient india</t>
  </si>
  <si>
    <t>Jorge (6), Angelo (78)</t>
  </si>
  <si>
    <t>https://drive.google.com/file/d/183VNFydcKfrGGFlFXFWAscYJ3W9U3z9I/view?usp=drivesdk</t>
  </si>
  <si>
    <t>Elizabeth Bathory</t>
  </si>
  <si>
    <t>Ryan (194)</t>
  </si>
  <si>
    <t>https://drive.google.com/file/d/1Bt8Ee5gwVgToJMvhATWeeB_MH9GOcjo0/view?usp=drivesdk</t>
  </si>
  <si>
    <t>Ancient Prostitute in India, Dubai Revised</t>
  </si>
  <si>
    <t>Angelo (10), Christen (110)</t>
  </si>
  <si>
    <t>https://drive.google.com/file/d/1Jco6_lpP7MmQmR1ipIcLntljgRBY2Ix6/view?usp=drivesdk</t>
  </si>
  <si>
    <t>Dubai Revised Script</t>
  </si>
  <si>
    <t>Christen (153)</t>
  </si>
  <si>
    <t>https://drive.google.com/file/d/1eDHkd8cXN5pBBhjoo8dYl90qMGN97V1j/view?usp=drivesdk</t>
  </si>
  <si>
    <t>Tribute Girl (in Joseon Korea)</t>
  </si>
  <si>
    <t>Angelo (108)</t>
  </si>
  <si>
    <t>https://drive.google.com/file/d/1p3sPFVrF34FImwGmRUNBMRzP2ueohbOH/view?usp=drivesdk</t>
  </si>
  <si>
    <t>DD Gay in Every Culture, Tribute Girl (in Joseon Korea), Wouldn’t Survive in the Devonian</t>
  </si>
  <si>
    <t>Julia (14), Angelo (68), Ioana (21)</t>
  </si>
  <si>
    <t>Julia (Rev 14 Scene)
Ioana masih nyempetin nyicil punya bang vanda aja aset blm lengkap
Angelo tinggal selesein</t>
  </si>
  <si>
    <t>https://drive.google.com/file/d/1Jj2S9lWyyYnOdrQ79VLyYE62iX24E5DP/view?usp=drivesdk</t>
  </si>
  <si>
    <t>Wouldn’t Survive in the Devonian, DD Gay in Every Culture, Tribute Girl (in Joseon Korea)</t>
  </si>
  <si>
    <t>Ioana (76), Julia (4), Angelo (8)</t>
  </si>
  <si>
    <t>Ioana ada problem sedikit kemarin, pas terima projek dari file dadan ternyata bebearapa scene blm di animasi sama blm sfx
untuk julia ada revisi internal jadi spent time buat revisi sedikit semoga acc
Angelo revisi minor ganti beberapa aset aja</t>
  </si>
  <si>
    <t>https://drive.google.com/file/d/1nh8niAyJbeerXbo0m9fa41u1aRwObAwY/view?usp=drivesdk</t>
  </si>
  <si>
    <t>Arii</t>
  </si>
  <si>
    <t>Male Concubine in ancient greece</t>
  </si>
  <si>
    <t>Julia (74)</t>
  </si>
  <si>
    <t>notes nya masiih sama si dian kebanyakan scene di 1 psd</t>
  </si>
  <si>
    <t>https://drive.google.com/file/d/1OPfd50HLDm71Qjj8K63YprKvzag1Ivwc/view?usp=drivesdk</t>
  </si>
  <si>
    <t>Joseon Korea, DD Gay in Every Culture, Wouldn’t Survive in the Devonian, Horryfying experiment</t>
  </si>
  <si>
    <t>Angelo (3), Julia (26), Ioana (40), Jorge (29)</t>
  </si>
  <si>
    <t>Gacor kang revisi 4 video sekaligus + redesain SFX julia
DIAN plz asseting nya susah bgt di gerakin</t>
  </si>
  <si>
    <t>https://drive.google.com/file/d/1a_SuLBkUcoYLSQSE3U2AI47PsmrWPqHu/view?usp=drivesdk</t>
  </si>
  <si>
    <t>ALbania, Wouldn’t Survive in the Devonian, Horrifying Experiments</t>
  </si>
  <si>
    <t>Wing (128), Ioana (1), Jorge (1)</t>
  </si>
  <si>
    <t>https://drive.google.com/file/d/1CvtfGf1myf_Eb6vzLNREei2A08dycW5B/view?usp=drivesdk</t>
  </si>
  <si>
    <t>Male Concubine in Ancient Greece</t>
  </si>
  <si>
    <t>Julia (49)</t>
  </si>
  <si>
    <t>sama kaya kemaren</t>
  </si>
  <si>
    <t>https://drive.google.com/file/d/1d3CxV0BRSrW83XPHowvZW_EU9YTvTxnB/view?usp=drivesdk</t>
  </si>
  <si>
    <t>Spartan Slave</t>
  </si>
  <si>
    <t>Yannick (174)</t>
  </si>
  <si>
    <t>Bang derrick untuk tangan sama kaki, ga perlu di pisah kalo misal nya ga overlap sama body.
terus notes nya akhir2 ini berantakan dan nutupin layar</t>
  </si>
  <si>
    <t>https://drive.google.com/file/d/1O1Q1tXgQIpDEZ-bxiKy5gW_47vnsk_Aw/view?usp=drivesdk</t>
  </si>
  <si>
    <t>Revised Dubai, Albania</t>
  </si>
  <si>
    <t>Christen (151), Wing (4)</t>
  </si>
  <si>
    <t>https://drive.google.com/file/d/1vms3eYa7WQJTkrQM1sH7c01poZb9tF6_/view?usp=drivesdk</t>
  </si>
  <si>
    <t>Revised Dubai, Palace Maid in Qing Dynasty</t>
  </si>
  <si>
    <t>Christen (110), Angelo (70)</t>
  </si>
  <si>
    <t>https://drive.google.com/file/d/1r8a7S9Hxa0IjWSA_6WKPNjD-vUI5IRWa/view?usp=drivesdk</t>
  </si>
  <si>
    <t>If Nature Had Boss Battle, Palace Maid [Qing Dinasty]</t>
  </si>
  <si>
    <t>Amanda (81), Angelo (20)</t>
  </si>
  <si>
    <t>https://drive.google.com/file/d/1yrS3ElK89QMMaHSErErRMjP4k7ORWlL6/view?usp=drivesdk</t>
  </si>
  <si>
    <t>THE MOST BRUTAL EXECUTION METHODS</t>
  </si>
  <si>
    <t>Jorge (120)</t>
  </si>
  <si>
    <t>https://drive.google.com/file/d/1S7wN2Q94PiBa5k2OtfQWqVsFOwxSOd7s/view?usp=drivesdk</t>
  </si>
  <si>
    <t>Palace Maid [Qing Dinasty], IF NATURE HAD BOSS BATTLES</t>
  </si>
  <si>
    <t>Angelo (129), Amanda (35)</t>
  </si>
  <si>
    <t>https://drive.google.com/file/d/1hBGdeft4DMg-cc5v2rAW0bZU_55u4Qp9/view?usp=drivesdk</t>
  </si>
  <si>
    <t>THE MOST BRUTAL EXECUTION METHODS, Deadly Frogs</t>
  </si>
  <si>
    <t>Jorge (134), Ioana (43)</t>
  </si>
  <si>
    <t>https://drive.google.com/file/d/1JngAzYtFpM2xYi88rNSqVGsXSDj7MFxx/view?usp=drivesdk</t>
  </si>
  <si>
    <t>hendi</t>
  </si>
  <si>
    <t>deadly frogs</t>
  </si>
  <si>
    <t>loana (0)</t>
  </si>
  <si>
    <t>https://drive.google.com/file/d/1iTzeO9vyGsEf_ZPpl8uR4Ncb1NPvbewX/view?usp=drivesdk</t>
  </si>
  <si>
    <t>If Nature Had Boss Battles, Worst Job</t>
  </si>
  <si>
    <t>Amanda (88), Jason (20)</t>
  </si>
  <si>
    <t>https://drive.google.com/file/d/1-XO1gfqUS9t8SXTUBzPwuzM7F6FRV8J1/view?usp=drivesdk</t>
  </si>
  <si>
    <t>Worst Job</t>
  </si>
  <si>
    <t>Jason (93)</t>
  </si>
  <si>
    <t>https://drive.google.com/file/d/1jLi3cytvToM15Lk_fD3QEsFCu1jCh-Gh/view?usp=drivesdk</t>
  </si>
  <si>
    <t>Ranavola, Jordan Test</t>
  </si>
  <si>
    <t>Ryan (122), Jordan (11)</t>
  </si>
  <si>
    <t>Kak Mike, untuk tangan yang overlap itu sebaiknya jangan di merge. cuma kalo ga overlap ama badan baru di overlap gpp</t>
  </si>
  <si>
    <t>https://drive.google.com/file/d/1p0bkLNj2sLsggBzynW-kmRLpIAT3LWkC/view?usp=drivesdk</t>
  </si>
  <si>
    <t>ranavola</t>
  </si>
  <si>
    <t>Ryan (0)</t>
  </si>
  <si>
    <t>asset banyak yang bug</t>
  </si>
  <si>
    <t>https://drive.google.com/file/d/1a6d8UdCU06lslB6zFsSWU-UU6_5lZM3N/view?usp=drivesdk</t>
  </si>
  <si>
    <t>bad job</t>
  </si>
  <si>
    <t>keith (0)</t>
  </si>
  <si>
    <t>https://drive.google.com/file/d/1m5ioKh4xJkjlaii--MD541ECIHWU-0WO/view?usp=drivesdk</t>
  </si>
  <si>
    <t>Bad Job</t>
  </si>
  <si>
    <t>https://drive.google.com/file/d/1rHyPU-g-A769maUphMPjtZ-f8bqP6suW/view?usp=drivesdk</t>
  </si>
  <si>
    <t>slave maidwife</t>
  </si>
  <si>
    <t>Angelo (0)</t>
  </si>
  <si>
    <t>https://drive.google.com/file/d/1AnCrU2M39t2JXLcRYcmlV0Wq0Tz_dKbi/view?usp=drivesdk</t>
  </si>
  <si>
    <t>Slave Midwife in Qing Dynasty</t>
  </si>
  <si>
    <t>Angelo (160)</t>
  </si>
  <si>
    <t>https://drive.google.com/file/d/1q7kudSd5hw31zlLCp-Uo4T0-zWxfbzYz/view?usp=drivesdk</t>
  </si>
  <si>
    <t>keith (121)</t>
  </si>
  <si>
    <t>https://drive.google.com/file/d/123y9uMTmbAxy5v1NRLnaBgauT-0MdoOU/view?usp=drivesdk</t>
  </si>
  <si>
    <t>Jason (104)</t>
  </si>
  <si>
    <t>https://drive.google.com/file/d/1pkB6j_OEvvcYcWVuM2rzk0ama_ph2h9I/view?usp=drivesdk</t>
  </si>
  <si>
    <t>Umm Al Dwais</t>
  </si>
  <si>
    <t>Internal (98)</t>
  </si>
  <si>
    <t>Belum SFX</t>
  </si>
  <si>
    <t>Mewtwo</t>
  </si>
  <si>
    <t>Simon (90)</t>
  </si>
  <si>
    <t>Masih 1/2 lagi blm SFX</t>
  </si>
  <si>
    <t>Additional Jorge, Mew Two</t>
  </si>
  <si>
    <t>Jorge (45), Simon (46)</t>
  </si>
  <si>
    <t>Simon Jorge banyak rev asset, sama redesign beberapa sfx, simon blm SFX</t>
  </si>
  <si>
    <t>Rev Jorge, Rev Mew Two, Umm Al Dwais</t>
  </si>
  <si>
    <t>Jorge (25), Simon (12), Internal (20)</t>
  </si>
  <si>
    <t>Rev Minor Jorge, Alligator, Breeding Slave (in Joseon Korea)</t>
  </si>
  <si>
    <t>Jorge (12), Jordan (24), Angelo (80)</t>
  </si>
  <si>
    <t>Breeding Slave (in Joseon Korea), Eaten by Bacteria</t>
  </si>
  <si>
    <t>Angelo (12), Ioana (60)</t>
  </si>
  <si>
    <t>Rev Breeding Slave (in Joseon Korea), Eaten by Bacteria, Babi Ngepet</t>
  </si>
  <si>
    <t>Angelo (13), Ioana (40), Internal (35)</t>
  </si>
  <si>
    <t>REAL CONDITIONS THAT SOUND LIKE SUPERPOWERS</t>
  </si>
  <si>
    <t xml:space="preserve"> Amanda (72)</t>
  </si>
  <si>
    <t>REAL CONDITIONS THAT SOUND LIKE SUPERPOWERS, Benerin Bug Website</t>
  </si>
  <si>
    <t>Amanda (66)</t>
  </si>
  <si>
    <t>Ini dikit bgt karena benerin bug website hampir 1/2 hari</t>
  </si>
  <si>
    <t>Male Concubine in China</t>
  </si>
  <si>
    <t>Julia (50)</t>
  </si>
  <si>
    <t>https://drive.google.com/file/d/1o2hXoPDxwJK0tdjy7oUqgdP0iAshdav0/view?usp=drivesdk</t>
  </si>
  <si>
    <t>Why You Have Social Anxiety</t>
  </si>
  <si>
    <t>Allan (119)</t>
  </si>
  <si>
    <t>Handwriting notes nya susah kebaca</t>
  </si>
  <si>
    <t>walk fixes your brain, male concubine in chine</t>
  </si>
  <si>
    <t>Allan (69), Julia (0)</t>
  </si>
  <si>
    <t>Rev Jorge Major</t>
  </si>
  <si>
    <t>Jorge (69)</t>
  </si>
  <si>
    <t>Jorge (83)</t>
  </si>
  <si>
    <t>Scandalous Life of Messalina, Most Unfair Wars in Human History</t>
  </si>
  <si>
    <t>Ryan (87), Meisha (39)</t>
  </si>
  <si>
    <t>https://drive.google.com/open?id=13Mpx0lC8Q94K6XynOOQ5gMFIrHsV6u0x&amp;usp=drive_fs</t>
  </si>
  <si>
    <t>Scandalous Life of Messalina</t>
  </si>
  <si>
    <t>Ryan (103)</t>
  </si>
  <si>
    <t>jason (30)</t>
  </si>
  <si>
    <t>Ways your body can betray you</t>
  </si>
  <si>
    <t>Amanda (79)</t>
  </si>
  <si>
    <t>itu sm yg kmren lupa isi hehe boleh tak</t>
  </si>
  <si>
    <t>https://drive.google.com/file/d/1fOWljCTPSMpS5jYQIMgDSvHv8FqjUUiK/view?usp=drivesdk</t>
  </si>
  <si>
    <t>Scandalous Life of Messalina (SFX), Ways your body can betray you</t>
  </si>
  <si>
    <t>Ryan (5), Amanda (47)</t>
  </si>
  <si>
    <t>tribute girl</t>
  </si>
  <si>
    <t>Angelo (58)</t>
  </si>
  <si>
    <t>asetnya abis</t>
  </si>
  <si>
    <t>Rev Messalina, PLACES ON EARTH TRYING TO KILL YOU RIGHT NOW</t>
  </si>
  <si>
    <t>Ryan (3), Amanda (65)</t>
  </si>
  <si>
    <t>Tadi sempat struggle angelo jadi spent time buat cicil Amanda untungnya dapet 45% dari total durasi</t>
  </si>
  <si>
    <t>Ways your body can betray you, miya</t>
  </si>
  <si>
    <t>Amanda (0), Internal (8)</t>
  </si>
  <si>
    <t>amanda rev, miya nambahin maskot &amp; sfx, + ada nyelip buat ads</t>
  </si>
  <si>
    <t>miya</t>
  </si>
  <si>
    <t>Angelo (155)</t>
  </si>
  <si>
    <t>render</t>
  </si>
  <si>
    <t>King David, Mummified</t>
  </si>
  <si>
    <t>Rewell (21), Ioana (80)</t>
  </si>
  <si>
    <t>Ada kendala listrik sama cuaca</t>
  </si>
  <si>
    <t>Ioana</t>
  </si>
  <si>
    <t>loana (80)</t>
  </si>
  <si>
    <t>jujur bingung sama layernya abis revisi asset</t>
  </si>
  <si>
    <t>finishing</t>
  </si>
  <si>
    <t>Marcel, Most Useless Queen</t>
  </si>
  <si>
    <t>Internal (33), Ryan (8)</t>
  </si>
  <si>
    <r>
      <rPr>
        <color rgb="FF1155CC"/>
        <u/>
      </rPr>
      <t>marcel</t>
    </r>
    <r>
      <rPr/>
      <t xml:space="preserve">
</t>
    </r>
    <r>
      <rPr>
        <color rgb="FF1155CC"/>
        <u/>
      </rPr>
      <t>ryan</t>
    </r>
  </si>
  <si>
    <t>wet nurse</t>
  </si>
  <si>
    <t>Angelo (12)</t>
  </si>
  <si>
    <t>layernya sih ini kebanyakan wkwkwkw jadi bingung</t>
  </si>
  <si>
    <t>Angelo (123)</t>
  </si>
  <si>
    <t>layernya lumayan yah</t>
  </si>
  <si>
    <t>King David, Why It Sucks to Be a Wet Nurse (in Joseon Korea)</t>
  </si>
  <si>
    <t>Rewell (14), Angelo (82)</t>
  </si>
  <si>
    <t>Rewell</t>
  </si>
  <si>
    <t>Most Useless Queen, marcel</t>
  </si>
  <si>
    <t>Ryan (51), Internal (25)</t>
  </si>
  <si>
    <t>notes nya masih ada yg nyatu sm layer lain</t>
  </si>
  <si>
    <r>
      <rPr>
        <color rgb="FF1155CC"/>
        <u/>
      </rPr>
      <t>marcel</t>
    </r>
    <r>
      <rPr/>
      <t xml:space="preserve">
</t>
    </r>
    <r>
      <rPr>
        <color rgb="FF1155CC"/>
        <u/>
      </rPr>
      <t>ryan</t>
    </r>
  </si>
  <si>
    <t>King David</t>
  </si>
  <si>
    <t>rewell (72)</t>
  </si>
  <si>
    <t>rewell</t>
  </si>
  <si>
    <t>Who was Columbus</t>
  </si>
  <si>
    <t>Alex (114)</t>
  </si>
  <si>
    <t>Ekspektasi referensi klien beda jauh sama aset nya, aset nya lebih mirip kayak jorge dibanding referensi klien. sama pacing nya kurang, terlalu banyak pop up, mascot kalo liat dari klien tu lebih ke ngikut adegan bukan jadi kayak guru jelasin depan kelas.</t>
  </si>
  <si>
    <t>Most Useless Queen</t>
  </si>
  <si>
    <t>Ryan (37)</t>
  </si>
  <si>
    <t>ryan</t>
  </si>
  <si>
    <t>Angelo (90)</t>
  </si>
  <si>
    <t>angelo lanjut besok</t>
  </si>
  <si>
    <t>Ryan (108)</t>
  </si>
  <si>
    <t>AI IS EATING THE INTERNET, Gay In Culture</t>
  </si>
  <si>
    <t>Christen (35), Julia (83)</t>
  </si>
  <si>
    <t>tribute, king</t>
  </si>
  <si>
    <t>Angelo (88), rewell (15)</t>
  </si>
  <si>
    <t>revisinya mantap sekali</t>
  </si>
  <si>
    <t>angelo last scene</t>
  </si>
  <si>
    <t>Gay In Culture</t>
  </si>
  <si>
    <t>Julia (62)</t>
  </si>
  <si>
    <t>julia</t>
  </si>
  <si>
    <t>Angelo (60), rewell (12)</t>
  </si>
  <si>
    <t>rewel</t>
  </si>
  <si>
    <t>AI IS EATING THE INTERNET</t>
  </si>
  <si>
    <t>Christen (94)</t>
  </si>
  <si>
    <t>Pening nyo ngedit style Christen</t>
  </si>
  <si>
    <t>Christen</t>
  </si>
  <si>
    <t>Woman in Comanche Captivity</t>
  </si>
  <si>
    <t>Julia (30)</t>
  </si>
  <si>
    <t>ID</t>
  </si>
  <si>
    <t>Date</t>
  </si>
  <si>
    <t>Name</t>
  </si>
  <si>
    <t>Clock In Time</t>
  </si>
  <si>
    <t>Clock Out Time</t>
  </si>
  <si>
    <t>Duration (Hours)</t>
  </si>
  <si>
    <t>Status</t>
  </si>
  <si>
    <t>To-Do</t>
  </si>
  <si>
    <t>att_1774238697353_hraffmq7h</t>
  </si>
  <si>
    <t>Late</t>
  </si>
  <si>
    <t>I will finish Internal "Umm Al- Duwais" and wait for VO Ryan</t>
  </si>
  <si>
    <t>att_1774663689955_6eqtyt5zq</t>
  </si>
  <si>
    <t>On Time</t>
  </si>
  <si>
    <t>I Will do:
1. Allan, Walk Fixes broken brain,</t>
  </si>
  <si>
    <t>att_1774663829584_scbdvncsl</t>
  </si>
  <si>
    <t>I Will do:
1. Allan, ,</t>
  </si>
  <si>
    <t>att_1774837085559_c9a11wfjg</t>
  </si>
  <si>
    <t>I Will do:
1. Amanda, ways your body can betray you, first time edit amanda
2. Internal, miya,</t>
  </si>
  <si>
    <t>att_1774922513279_y5r1leshp</t>
  </si>
  <si>
    <t>I Will do:
1. Amanda, ways your body can betray you,</t>
  </si>
  <si>
    <t>att_1775008345133_17bv5kexh</t>
  </si>
  <si>
    <t>I Will do:
1. Amanda, ways your body can betray you, 
2. Internal, miya,</t>
  </si>
  <si>
    <t>att_1775008788690_10zxjroiq</t>
  </si>
  <si>
    <t>11.23 PM</t>
  </si>
  <si>
    <t>I Will do:
1. Ryan, Scandalous Life of Messalina, SFX
2. Angelo, Why It Sucks to Be a Wet Nurse (in Joseon Korea), Nyicil
3. Amanda, Ways your body can betray you, Bantu bang ari</t>
  </si>
  <si>
    <t>att_1775033093344_jgkr7vrdk</t>
  </si>
  <si>
    <t>I Will do:
1. Angelo, ,</t>
  </si>
  <si>
    <t>att_1775089016704_x0slps0c6</t>
  </si>
  <si>
    <t>I Will do:
1. jason, Tribute Girl (in Ming Dynasty),</t>
  </si>
  <si>
    <t>att_1775090016293_nv19qfnwj</t>
  </si>
  <si>
    <t>att_1775095023480_dqt8l6ev4</t>
  </si>
  <si>
    <t>I Will do:
1. Ryan, Mesallina Revisi, Revisi beberapa scene
2. Angelo, Why It Sucks to Be a Wet Nurse (in Joseon Korea), Cicil
additional notes: Kalau waktu sempat nyicil internal</t>
  </si>
  <si>
    <t>att_1775095072096_xc4pdbnit</t>
  </si>
  <si>
    <t>I Will do:
1. Amanda, Ways your body can betray you, revisi internal
2. Internal, miya, maskot</t>
  </si>
  <si>
    <t>att_1775115519205_durqkgmep</t>
  </si>
  <si>
    <t>att_1775171517414_819cmsg4i</t>
  </si>
  <si>
    <t>att_1775266069413_z8cks0kcx</t>
  </si>
  <si>
    <t>I Will do:
1. loana, ,</t>
  </si>
  <si>
    <t>att_1775267200112_tz5qy46qo</t>
  </si>
  <si>
    <t>I Will do:
1. Internal, miya, 
2. Amanda, Tiny Creatures, 
additional notes: kalo masih ada waktu cicil marcel</t>
  </si>
  <si>
    <t>att_1775267292270_skb0qwzr9</t>
  </si>
  <si>
    <t>I Will do:
1. Angelo, Why It Sucks to Be a Tribute Girl (in Ming Dynasty), SFX
2. Ioana, Mummified, On going
3. Rewell, King David, Test 1 Menit</t>
  </si>
  <si>
    <t>att_1775431706806_9kabi8esp</t>
  </si>
  <si>
    <t>att_1775437667185_vge5mifxk</t>
  </si>
  <si>
    <t>I Will do:
1. Angelo, Why It Sucks to Be a Wet Nurse (in Joseon Korea), 
2. Jordan, Rev Test Aligator, 
3. Rewell, King David, Revisi karakter dan BG
4. Ryan, Most Useless Queen, Cicil</t>
  </si>
  <si>
    <t>att_1775441641083_ash53wc1k</t>
  </si>
  <si>
    <t>I Will do:
1. Internal, Marcel, 
2. Ryan, Most Useless Queen,</t>
  </si>
  <si>
    <t>att_1775524797777_253tzqu8y</t>
  </si>
  <si>
    <t>11.43 PM</t>
  </si>
  <si>
    <t>I Will do:
1. Alex, Who was Columbus,</t>
  </si>
  <si>
    <t>att_1775526094583_w47vn1ovc</t>
  </si>
  <si>
    <t>I Will do:
1. rewell, ,</t>
  </si>
  <si>
    <t>att_1775530557941_y489i7qoe</t>
  </si>
  <si>
    <t>I Will do:
1. Ryan, Most Useless Queen,</t>
  </si>
  <si>
    <t>att_1775612684639_o2v3euxkh</t>
  </si>
  <si>
    <t>I Will do:
1. Ryan, Most Useless Queen, Cicil bantu bang Ari
2. Christen, AI IS EATING THE INTERNET, Cicil projek Christen</t>
  </si>
  <si>
    <t>att_1775613229776_vflcqe73h</t>
  </si>
  <si>
    <t>I Will do:
1. Ryan, Most Useless Queen, 
additional notes: nanti siangan geser ke ads dulu, klo masih sempet cicil juliah</t>
  </si>
  <si>
    <t>att_1775613540975_o31tssf43</t>
  </si>
  <si>
    <t>I Will do:
1. Ryan, ,</t>
  </si>
  <si>
    <t>att_1775698497427_2syc2bx21</t>
  </si>
  <si>
    <t>I Will do:
1. Christen, AI IS EATING THE INTERNET, Cicil target 50%</t>
  </si>
  <si>
    <t>att_1775699690350_ed1id4o2v</t>
  </si>
  <si>
    <t>att_1775700271808_n924iafc4</t>
  </si>
  <si>
    <t>I Will do:
1. Julia, Gay In Culture,</t>
  </si>
  <si>
    <t>att_1775783750184_2tx0pjioe</t>
  </si>
  <si>
    <t>att_1775787433189_rbpa10moj</t>
  </si>
  <si>
    <t>I Will do:
1. Christen, AI IS EATING THE INTERNET, Target 50%
2. Internal, Churel, Cicil</t>
  </si>
  <si>
    <t>att_1775787747081_xt9eb7p2m</t>
  </si>
  <si>
    <t>I Will do:
1. Julia, Woman in Comanche Captivity,</t>
  </si>
  <si>
    <t>att_1775870944239_rrjr19jgj</t>
  </si>
  <si>
    <t>att_1775877923974_h4bime6rc</t>
  </si>
  <si>
    <t>Rosdiana</t>
  </si>
  <si>
    <t>Mals concubine in ancient china</t>
  </si>
  <si>
    <t>Julia (0)</t>
  </si>
  <si>
    <t>Dayah</t>
  </si>
  <si>
    <t>Breeding slaves (in Joseon Korea)</t>
  </si>
  <si>
    <t>Angelo (52)</t>
  </si>
  <si>
    <t>https://drive.google.com/file/d/1-rEc0R7k6rcXenSQOFHoA1vyaH-W3lGw/view?usp=drivesdk</t>
  </si>
  <si>
    <t>manda</t>
  </si>
  <si>
    <t>Life of A Medieval Peasent</t>
  </si>
  <si>
    <t>jason (35)</t>
  </si>
  <si>
    <t>https://drive.google.com/file/d/178JwpQfYGvDrS6UTsz6qWf1yvs4xOxvE/view?usp=drivesdk</t>
  </si>
  <si>
    <t>Luky</t>
  </si>
  <si>
    <t>Mlbb - Marcel</t>
  </si>
  <si>
    <t>Internal (35)</t>
  </si>
  <si>
    <t>https://drive.google.com/file/d/1uryNtOw5k-qV80kV99G5C2erk-dw_Dr5/view?usp=drivesdk</t>
  </si>
  <si>
    <t>male concubine in anchient china</t>
  </si>
  <si>
    <t>Julia (35)</t>
  </si>
  <si>
    <t>https://drive.google.com/file/d/1g1fvrns_D1BBTTmzuokrJgCip4BkOkiR/view?usp=drivesdk</t>
  </si>
  <si>
    <t>Mike</t>
  </si>
  <si>
    <t>Eaten by Bacteria, The Black Woman of Wat Samian Nari</t>
  </si>
  <si>
    <t>Ioana (30), Internal (5)</t>
  </si>
  <si>
    <t>https://drive.google.com/file/d/1ui91BuPhTNdkl9F9gFrJXDo63aiuk5cD/view?usp=drivesdk</t>
  </si>
  <si>
    <t>Dian</t>
  </si>
  <si>
    <t>Breeding Slave (in Joseon Korea)</t>
  </si>
  <si>
    <t>Angelo (35)</t>
  </si>
  <si>
    <t>https://drive.google.com/file/d/1RxV63-7dsW2pql3sk-jf1iblVZyXX2xj/view?usp=drivesdk</t>
  </si>
  <si>
    <t>https://drive.google.com/file/d/1b8c0IpZxP8_gWSJDCBYMnquIE-1MF8iK/view?usp=drivesdk</t>
  </si>
  <si>
    <t>Beka</t>
  </si>
  <si>
    <t>Eaten by Bacteria</t>
  </si>
  <si>
    <t>Ioana (0)</t>
  </si>
  <si>
    <t>https://drive.google.com/file/d/1YyX6YVuypNttgooYvYwhWIrZkLMy0ndT/view?usp=drivesdk</t>
  </si>
  <si>
    <t>Derrick</t>
  </si>
  <si>
    <t>21, 8 + asset</t>
  </si>
  <si>
    <t>Ryan (0), Jason (0)</t>
  </si>
  <si>
    <r>
      <rPr>
        <color rgb="FF1155CC"/>
        <u/>
      </rPr>
      <t>https://drive.google.com/file/d/1qIP-8WOCtnSNdkrrqJfuO6A3U66QY-tA/view?usp=drivesdk</t>
    </r>
    <r>
      <rPr/>
      <t xml:space="preserve">
</t>
    </r>
    <r>
      <rPr>
        <color rgb="FF1155CC"/>
        <u/>
      </rPr>
      <t>https://drive.google.com/file/d/1zdiaRLjCaK6uTAfpYPtotbGwLjhAB6gX/view?usp=drivesdk</t>
    </r>
    <r>
      <rPr/>
      <t xml:space="preserve">
</t>
    </r>
    <r>
      <rPr>
        <color rgb="FF1155CC"/>
        <u/>
      </rPr>
      <t>https://drive.google.com/file/d/1Kyyea8UTGdvv7jKAN5Ys_BvEt8cwC44A/view?usp=drivesdk</t>
    </r>
  </si>
  <si>
    <t>Scandalous messallina, Medieval</t>
  </si>
  <si>
    <t>Ryan (21), Jason (0)</t>
  </si>
  <si>
    <t>Vanda</t>
  </si>
  <si>
    <t>Amanda (10)</t>
  </si>
  <si>
    <t>ssssss</t>
  </si>
  <si>
    <t>https://drive.google.com/file/d/197tW5k8xB0ZI0hkjUHsCLDMeArpa-lsX/view?usp=drivesdk</t>
  </si>
  <si>
    <t>https://drive.google.com/file/d/15g1Mch4B3Ri4uv9ttWe1YuaoOKC6VhgE/view?usp=drivesdk</t>
  </si>
  <si>
    <t>https://drive.google.com/file/d/12eBcv6X9b9Z0rM43iEGEuc_vklHLkl2j/view?usp=drivesdk</t>
  </si>
  <si>
    <t>Male Concubine in Ancient China</t>
  </si>
  <si>
    <t xml:space="preserve">melanjutkan progress berhasil menyelesaikan 35 scene tambahan </t>
  </si>
  <si>
    <t>https://drive.google.com/file/d/1spJcqVEcAyZHUco5rLNHOWmG8uXhGcG3/view?usp=drivesdk</t>
  </si>
  <si>
    <t xml:space="preserve">Selesai progress 35 scene </t>
  </si>
  <si>
    <t>https://drive.google.com/file/d/1E58_xafgSo8QqdoQ3X-lPxNOM1s-n3W6/view?usp=drivesdk</t>
  </si>
  <si>
    <t>Walk Fixes a Broken Brain</t>
  </si>
  <si>
    <t>Allan (10)</t>
  </si>
  <si>
    <t>Hari ini buat aset² , storybroad dan beberapa SC yang bisa diangsur buat</t>
  </si>
  <si>
    <t>https://drive.google.com/file/d/1xic3MjLdBEZmpu0076uqVU5pz4iJuNSj/view?usp=drivesdk
https://drive.google.com/file/d/1gWAz8Ec_yLgrNiElhTU2qEHM-a0RPFl_/view?usp=drivesdk
https://drive.google.com/file/d/1C-mjWomTk9RXp4AVCAmukc8-37e564fx/view?usp=drivesdk</t>
  </si>
  <si>
    <t>https://drive.google.com/file/d/1LANt9NFd8_Wu8ohOEOmUhXny3UwbnCeD/view?usp=drivesdk
https://drive.google.com/file/d/1WtOtxKMJ744C-M4H5u59E6LB-7KYMzfp/view?usp=drivesdk
https://drive.google.com/file/d/1ChauPLcWsQq9ZHQZEhR8n4TjT5uyzYvY/view?usp=drivesdk</t>
  </si>
  <si>
    <t>Mlbb - marcel</t>
  </si>
  <si>
    <t>https://drive.google.com/file/d/1RCFvMuSUEMEcZ9N6Y404If2ND2CPwnaE/view?usp=drivesdk</t>
  </si>
  <si>
    <t>Mlbb- Marcel</t>
  </si>
  <si>
    <t>https://drive.google.com/file/d/1VwIGRLUWnCXvMZ5hsoipz4J5lwGniYYp/view?usp=drivesdk</t>
  </si>
  <si>
    <t>Amanda (0), Internal (5)</t>
  </si>
  <si>
    <t>Masih rampungin stb. Internal el silbon</t>
  </si>
  <si>
    <t>https://drive.google.com/file/d/1jn2jeIbknWjZEWL2MFQHjmShzSeD7Qrq/view?usp=drivesdk</t>
  </si>
  <si>
    <t>Ioana (22)</t>
  </si>
  <si>
    <t>https://drive.google.com/file/d/1m68hJhdThWVGa8qnZCcSgSGL4eo_0_LG/view?usp=drivesdk</t>
  </si>
  <si>
    <t>Jason (45)</t>
  </si>
  <si>
    <t>https://drive.google.com/file/d/1cPHRyCsY_JZssp_iFB79RU9r4DiOyVF0/view?usp=drivesdk</t>
  </si>
  <si>
    <t>Life of A Medieval Peasent, How Dubai Got So rich</t>
  </si>
  <si>
    <t>jason (39), Kristin (1)</t>
  </si>
  <si>
    <t>yang kristin bikin thumbnail</t>
  </si>
  <si>
    <t>https://drive.google.com/file/d/1vKHr5Ydo9JThmRPw0bQFwtda8mM2z_0F/view?usp=drivesdk
https://drive.google.com/file/d/15rOnfzJZdoAFSSdNcCYV4rAVwzyi26Cq/view?usp=drivesdk</t>
  </si>
  <si>
    <t>Julia (45)</t>
  </si>
  <si>
    <t>Selesai untuk semua aset</t>
  </si>
  <si>
    <t>https://drive.google.com/file/d/1JGHQaiROnw-XeR6KdWIp0EEAC_MHpRkV/view?usp=drivesdk</t>
  </si>
  <si>
    <t>Allan (32), Angelo (6)</t>
  </si>
  <si>
    <t>Walk Fixes a Broken Brain, Breeding Slave (in Joseon Korea)</t>
  </si>
  <si>
    <t>https://drive.google.com/file/d/1RUBCTzeI5g9cGW54HeFYoKMCg5rUsmNm/view?usp=drivesdk
https://drive.google.com/file/d/1aSJIoyx7RTDxHCEXqr67laqjyJk4R9E2/view?usp=drivesdk</t>
  </si>
  <si>
    <t>Mlbb-Alucard</t>
  </si>
  <si>
    <t>https://drive.google.com/file/d/1DNcQPuYX9pDS_69IxirqwLYtZESMsEr8/view?usp=drivesdk</t>
  </si>
  <si>
    <t>Amanda (35)</t>
  </si>
  <si>
    <t>Nothing</t>
  </si>
  <si>
    <t>https://drive.google.com/file/d/1UWIPpfKGPv9PZky_08B1VNEAdYxUN9LA/view?usp=drivesdk</t>
  </si>
  <si>
    <t>Bagas</t>
  </si>
  <si>
    <t>Allan (45)</t>
  </si>
  <si>
    <t>Eaten by Bacteria, Daughter of king Xerxes</t>
  </si>
  <si>
    <t>Ioana (0), Julia (0)</t>
  </si>
  <si>
    <t>Ioana - Revisi + Thumbnail
Julia - Sketching</t>
  </si>
  <si>
    <t>https://drive.google.com/file/d/1w43c6XUvCOPpbuqANRYy4m6usWwzCOfz/view?usp=drivesdk
https://drive.google.com/file/d/1KEeU6O01oGqWSRt-ws1Q8X5W7bllgaGV/view?usp=drivesdk</t>
  </si>
  <si>
    <t>https://drive.google.com/file/d/1eQPb1zSMwmQJMXjh2X1LBuo74z6w7f4A/view?usp=drivesdk</t>
  </si>
  <si>
    <t>Jason (35)</t>
  </si>
  <si>
    <t>https://drive.google.com/file/d/1RejrBjvhlSXH67DWvgfprLGZ-W-vC6Im/view?usp=drivesdk</t>
  </si>
  <si>
    <t>Life of A Medieval Peasent, babi ngepet</t>
  </si>
  <si>
    <t>jason (21), Internal (15)</t>
  </si>
  <si>
    <t>https://drive.google.com/file/d/1vIKFlCTValuuq7jHcTJqsyAdaZGWE0II/view?usp=drivesdk
https://drive.google.com/file/d/1-GVY4CJQLnlPh_En2gsfpkgLuNxbC3YN/view?usp=drivesdk</t>
  </si>
  <si>
    <t>Amanda (37)</t>
  </si>
  <si>
    <t>https://drive.google.com/file/d/1pEWFZByWGfVN4IW73JvKw_MONVNekTRO/view?usp=drivesdk</t>
  </si>
  <si>
    <t>Maaf yg sebelumnya salah, harusnya untuk tanggal 26</t>
  </si>
  <si>
    <t>https://drive.google.com/file/d/1ZfhUNWRRaHhfvcekzv8Bb2pMW2KkoJIx/view?usp=drivesdk</t>
  </si>
  <si>
    <t>Daughter of king Xerxes</t>
  </si>
  <si>
    <t>https://drive.google.com/file/d/1clOrxLSIQvcJvheDGBgGFwA54nJRBSl6/view?usp=drivesdk</t>
  </si>
  <si>
    <t>Mlbb _ alucard</t>
  </si>
  <si>
    <t>https://drive.google.com/file/d/15lyXK8W2NUJ8oYoWD2HIh_iOoCwdnDaU/view?usp=drivesdk</t>
  </si>
  <si>
    <t>Walk Fixes a Broken Brain, THE MOST BRUTAL EXECUTION METHODS</t>
  </si>
  <si>
    <t>Allan (31), Jorge (4)</t>
  </si>
  <si>
    <t>https://drive.google.com/file/d/1Dz-EcQPyZ_I_lPMdoGZ8J3Syv5kMGNRg/view?usp=drivesdk
https://drive.google.com/file/d/1e_75P9EmnJ8xg87nUkbmiUI8wPL_Wmqy/view?usp=drivesdk</t>
  </si>
  <si>
    <t>https://drive.google.com/file/d/1jwYTMcffX5ma3rR1U82EWD71KbKtDjLs/view?usp=drivesdk
https://drive.google.com/file/d/1_i4j3_rypkvp42q9E5YCfAn0s5Hv5o6p/view?usp=drivesdk</t>
  </si>
  <si>
    <t>Jason (58)</t>
  </si>
  <si>
    <t>https://drive.google.com/file/d/1KZIvdxPRHai2MY6bPtFHVoxUqVN40wvF/view?usp=drivesdk</t>
  </si>
  <si>
    <t>Allan (62)</t>
  </si>
  <si>
    <t>kebut abis cuti</t>
  </si>
  <si>
    <t>https://drive.google.com/file/d/19m_1s6RylAwXNjWsEx4cOdMbEOGKrQrs/view?usp=drivesdk</t>
  </si>
  <si>
    <t>Amanda (15)</t>
  </si>
  <si>
    <t>https://drive.google.com/file/d/1mIDo-VaOi-Y1R170_SIs3oqqj-B8Liz5/view?usp=drivesdk</t>
  </si>
  <si>
    <t>https://drive.google.com/file/d/1RqaLyQRdT5XBXGKwZUI-KM2H1pafy_3F/view?usp=drivesdk</t>
  </si>
  <si>
    <t>Amanda (20)</t>
  </si>
  <si>
    <t>Saya ngerjain sisa Amanda sekalian sketching meisha</t>
  </si>
  <si>
    <t>https://drive.google.com/file/d/17Y6y98jcmYmCWhggvoyQwm816lnu8Pt1/view?usp=drivesdk</t>
  </si>
  <si>
    <t>The Most Dangerous Experiment</t>
  </si>
  <si>
    <t>jason (37)</t>
  </si>
  <si>
    <t>https://drive.google.com/file/d/15w6kCtO8ip3xwI4JvMNb-MDLwxrPAFG3/view?usp=drivesdk</t>
  </si>
  <si>
    <t>Julia (38)</t>
  </si>
  <si>
    <t>Daughter of king xerxes 28 scene
Male concubine in anchine china 10 scene revisi</t>
  </si>
  <si>
    <t>https://drive.google.com/file/d/1M-sQ8oUj0dj-UagopaR3X1ypOlI3iFeD/view?usp=drivesdk
https://drive.google.com/file/d/1cOmuvMept6xg5f4yBlft2w5jsNdS9qhd/view?usp=drivesdk</t>
  </si>
  <si>
    <t>Daughter of king Xerxes, The Black Woman of Wat Samian Nari</t>
  </si>
  <si>
    <t>Julia (34), Internal (1)</t>
  </si>
  <si>
    <t>https://drive.google.com/file/d/1BSjAm9DgL4kVD_3i0hPQ5NjRhRCMR0A5/view?usp=drivesdk</t>
  </si>
  <si>
    <t>Mlbb-alucard</t>
  </si>
  <si>
    <t>Internal (27)</t>
  </si>
  <si>
    <t>https://drive.google.com/file/d/1vvi14VLo2aSYx3jXLItUl05rlKRzKpLv/view?usp=drivesdk</t>
  </si>
  <si>
    <t>Jorge (52)</t>
  </si>
  <si>
    <t>Revisi</t>
  </si>
  <si>
    <t>https://drive.google.com/file/d/1rY-aJxzEUXGgqclkfevffhmaXbr4hFeJ/view?usp=drivesdk</t>
  </si>
  <si>
    <t>Amanda (13)</t>
  </si>
  <si>
    <t>https://drive.google.com/file/d/1qj2ANiyZy6BPel2RI2CYXO6MeQJwB1gu/view?usp=drivesdk</t>
  </si>
  <si>
    <t>derrick</t>
  </si>
  <si>
    <t>Mummy</t>
  </si>
  <si>
    <t>jason (0)</t>
  </si>
  <si>
    <t>https://drive.google.com/file/d/1T_aNqEU1T7d-fKLpnuMc0I-jSAaB0wdm/view?usp=drivesdk
https://drive.google.com/file/d/1ZJH4oWKG37lZfNkHvFfSNZu_lzoj0_AK/view?usp=drivesdk
https://drive.google.com/file/d/1nmLZJn8YQVW7W9d8ibHaxq2qi8bOG4BK/view?usp=drivesdk</t>
  </si>
  <si>
    <t>https://drive.google.com/file/d/1HaWXNKFKzvcTimeclM02jnFfEqDl2P2B/view?usp=drivesdk</t>
  </si>
  <si>
    <t>Daughter of king Xerxes, Tribute Girl (Ming Dynasty)</t>
  </si>
  <si>
    <t>Julia (7), Angelo (0)</t>
  </si>
  <si>
    <t>Revisi Julia + Sketching Angelo</t>
  </si>
  <si>
    <t>https://drive.google.com/file/d/1lMxuoFSfd4pOjkWNc3Qh3-vXdh5QV0G1/view?usp=drivesdk</t>
  </si>
  <si>
    <t>Amanda (40)</t>
  </si>
  <si>
    <t>Buat sketsa kasar storyboard dari 1-40</t>
  </si>
  <si>
    <t>https://drive.google.com/file/d/13ml7F9u2Gwpz6pZi8WnVTjBrW1QoDc3P/view?usp=drivesdk</t>
  </si>
  <si>
    <t>https://drive.google.com/file/d/11LxMmsB68DjzOzDEHezWfi6JuMC8LiAz/view?usp=drivesdk</t>
  </si>
  <si>
    <t>Mlbb - Zilong</t>
  </si>
  <si>
    <t>Internal (0)</t>
  </si>
  <si>
    <t xml:space="preserve">buat storyboard </t>
  </si>
  <si>
    <t>https://drive.google.com/file/d/1t35hwBLIqDyI_DMSgLKMx_xC-cQso42b/view?usp=drivesdk</t>
  </si>
  <si>
    <t>Sketching , editing aset background dan karakter</t>
  </si>
  <si>
    <t>https://drive.google.com/file/d/1qf1xkH7FMOGmdcFnm5rC67Bh8_3kd025/view?usp=drivesdk</t>
  </si>
  <si>
    <t>Amanda (16)</t>
  </si>
  <si>
    <t>https://drive.google.com/file/d/1TnqExuZTKXBgKyttT_I9EiOitWhS1BuR/view?usp=drivesdk</t>
  </si>
  <si>
    <t>Ioana (35)</t>
  </si>
  <si>
    <t>https://drive.google.com/file/d/1MyU4iZZXWUsoOY3jb2YcOoG-gRL45Atn/view?usp=drivesdk</t>
  </si>
  <si>
    <t>Most Unfair Wars in Human History</t>
  </si>
  <si>
    <t>meisha (54)</t>
  </si>
  <si>
    <t>lembur dan kepencet refresh 20:58</t>
  </si>
  <si>
    <t>https://drive.google.com/file/d/1HhYsOX5qgWtT8522l5I_A_4_x-ZYpyIV/view?usp=drivesdk</t>
  </si>
  <si>
    <t>Meisha (39)</t>
  </si>
  <si>
    <t>https://drive.google.com/file/d/1CwkN6qTqlDTT2YGN75prx03dmCfgq60N/view?usp=drivesdk</t>
  </si>
  <si>
    <t>https://drive.google.com/file/d/1Fm7IkogMeb9lHZYqMvkbxFZrUN7TRfvb/view?usp=drivesdk</t>
  </si>
  <si>
    <t>Slave Midwife (in Qing Dynasty)</t>
  </si>
  <si>
    <t>Angelo (13)</t>
  </si>
  <si>
    <t>https://drive.google.com/file/d/1wrnJ5svNg6PsVF8qfS8kggO3XwqEgRPM/view?usp=drivesdk</t>
  </si>
  <si>
    <t>Tribute Girl (Ming Dynasty), Daughter of king Xerxes</t>
  </si>
  <si>
    <t>Angelo (36), Julia (1)</t>
  </si>
  <si>
    <t>https://drive.google.com/file/d/1rwSf5O8Ov4qqCVc7atOG3KRHeh4epYYh/view?usp=drivesdk</t>
  </si>
  <si>
    <t xml:space="preserve">Selesai 35 scene, tapi belum up drive masih proses editing </t>
  </si>
  <si>
    <t>https://drive.google.com/file/d/1K99CaEMNDLbi38HZbdqk9zeKUxO0XppF/view?usp=drivesdk</t>
  </si>
  <si>
    <t>Amanda (26)</t>
  </si>
  <si>
    <t>https://drive.google.com/file/d/1Cdyy5f10eg9FVa7c8iXY8ha92hSfEMU0/view?usp=drivesdk
https://drive.google.com/file/d/1d9aH_Apns7Fy4xTQ833v0S8oYS6eVllc/view?usp=drivesdk</t>
  </si>
  <si>
    <t>https://drive.google.com/file/d/1OKQbIR47S7Tz70frO1coAsK59igIhEhZ/view?usp=drivesdk
https://drive.google.com/file/d/1BS-_BJN7s2M6toauDV6Gnzvd8ljnn0Le/view?usp=drivesdk</t>
  </si>
  <si>
    <t>Mlbb- zilong</t>
  </si>
  <si>
    <t>https://drive.google.com/file/d/1WkV44I1DKhdLji0goOCYka9Ysbtzgyej/view?usp=drivesdk</t>
  </si>
  <si>
    <t>https://drive.google.com/file/d/17Hc_7JX4bnINffBKDm0VwCDXvlaLzCBQ/view?usp=drivesdk
https://drive.google.com/file/d/1a2EypJxVMyK3cLJbqUv7Xr3wBJID5gpv/view?usp=drivesdk</t>
  </si>
  <si>
    <t>Who was colombus</t>
  </si>
  <si>
    <t>Alex (0)</t>
  </si>
  <si>
    <t>sketching and asseeting</t>
  </si>
  <si>
    <t>Amanda (21)</t>
  </si>
  <si>
    <t>https://drive.google.com/file/d/12L9akem-7Cwi4WG9UcaryHrBk0Yds-zU/view?usp=drivesdk</t>
  </si>
  <si>
    <t>Mummy, Scandalous Life of Messalina</t>
  </si>
  <si>
    <t>Ioana (34), Ryan (2)</t>
  </si>
  <si>
    <t>https://drive.google.com/file/d/1rBnmkjIU3buvKaZh-HydlImbo01Vifku/view?usp=drivesdk
https://drive.google.com/file/d/1FdHIVnjJ2pkF4f6t6qIxh66pwS9HoEi4/view?usp=drivesdk</t>
  </si>
  <si>
    <t>jason (42)</t>
  </si>
  <si>
    <t>https://drive.google.com/file/d/1gLLZ6xsqFjubDdGjsHnW0U3PGAMsAB4g/view?usp=drivesdk</t>
  </si>
  <si>
    <t>Tribute Girl (in Ming Dynasty)</t>
  </si>
  <si>
    <t>https://drive.google.com/file/d/1OaZhAHjOFWAUq8vbY-VeHbXnxtFJStJO/view?usp=drivesdk</t>
  </si>
  <si>
    <t>Angelo (39)</t>
  </si>
  <si>
    <t>https://drive.google.com/file/d/1sZ0yqYoVuCuKuUIMZqHl4yCoi3BoO2It/view?usp=drivesdk</t>
  </si>
  <si>
    <t>MLBB - zilong</t>
  </si>
  <si>
    <t>https://drive.google.com/file/d/1utKtAA_gJ1mcXa-KlcaCWoQHeROTHJVb/view?usp=drivesdk</t>
  </si>
  <si>
    <t>Ways your body can betray you, Nenek gayubg</t>
  </si>
  <si>
    <t>Amanda (34), Internal (2)</t>
  </si>
  <si>
    <t>https://drive.google.com/file/d/1k4N9U1m4n_0baVCCOH59lVE1vkP8lMap/view?usp=drivesdk
https://drive.google.com/file/d/1j0BuR8pNhMd3PT4PwU8IAck8aM7-B1Dh/view?usp=drivesdk
https://drive.google.com/file/d/1zuWUnMAR5y7pp5ZRwlFq7SK3yXa7koSP/view?usp=drivesdk</t>
  </si>
  <si>
    <t>Projek amanda 34
Projek nenek gayung 2</t>
  </si>
  <si>
    <t>https://drive.google.com/file/d/1bzTo9l_WH1qKUfSfNM_TLSXTQuoeghNg/view?usp=drivesdk
https://drive.google.com/file/d/17OlrbCESyIJxmomeRPHZazs1XQMabyPd/view?usp=drivesdk
https://drive.google.com/file/d/1F9HRYDcsqhkyq2iB_faHa8xSNKbpGOTU/view?usp=drivesdk</t>
  </si>
  <si>
    <t>PLACES ON EARTH TRYING TO KILL YOU</t>
  </si>
  <si>
    <t>Amanda (45)</t>
  </si>
  <si>
    <t>45 scene</t>
  </si>
  <si>
    <t>https://drive.google.com/file/d/1x3KUyQMsWMgT5UN-FE-Y_7YZsqXFgAXy/view?usp=drivesdk</t>
  </si>
  <si>
    <t>Alex (35)</t>
  </si>
  <si>
    <t>Amanda (36)</t>
  </si>
  <si>
    <t>https://drive.google.com/file/d/1IJjctqCk0Ylw7LzkaBJUIOv1Gd4cRBOu/view?usp=drivesdk</t>
  </si>
  <si>
    <t>https://drive.google.com/file/d/1PYWhmkvvnV4VrqIb9csZN5dBLW_vntRf/view?usp=drivesdk</t>
  </si>
  <si>
    <t>mummified</t>
  </si>
  <si>
    <t>ioana (35)</t>
  </si>
  <si>
    <t>ada kendala kalo sistem sketching sekaligus ilustrasi di hari yang sama susah buat sampe jam 6 (karena terbiasa sketching dan aseting 1 hari baru ilustrasi di hari berikutnya) , tapi diusahakan buat terbiasa</t>
  </si>
  <si>
    <t>https://drive.google.com/file/d/1HsTjpa3KRwKHaHTfVv0KhY7bMBohKoRo/view?usp=drivesdk</t>
  </si>
  <si>
    <t>Tiny Creatures, el silbon</t>
  </si>
  <si>
    <t>Amanda (32), Internal (5)</t>
  </si>
  <si>
    <t>maaf bang, aku ketiduran abis meeting. makanya telat, keteledoran sendiri sih soalnya bukannya dikirim dulu. maaf ya</t>
  </si>
  <si>
    <t>https://drive.google.com/file/d/1vIQAdzF4AvL4_R9ox1AYcMzAIzchUYOn/view?usp=drivesdk
https://drive.google.com/file/d/1AzkBiFGNEbX0WfG12lNbZsgmbR9jAbRS/view?usp=drivesdk</t>
  </si>
  <si>
    <t>https://drive.google.com/file/d/1DGQOu7rT6vUh66lckSI2yo6KHl5g_UGb/view?usp=drivesdk
https://drive.google.com/file/d/1ry32Kr7CeOHyHvWtGG3WFCShmci8od7-/view?usp=drivesdk</t>
  </si>
  <si>
    <t>Who was Colombus</t>
  </si>
  <si>
    <t>colombus</t>
  </si>
  <si>
    <t>mummified, babi ngepet</t>
  </si>
  <si>
    <t>ioana (26), Internal (1)</t>
  </si>
  <si>
    <t>yg babi ngepet mau beresin aset karakter dulu</t>
  </si>
  <si>
    <r>
      <rPr>
        <color rgb="FF1155CC"/>
        <u/>
      </rPr>
      <t>1</t>
    </r>
    <r>
      <rPr/>
      <t xml:space="preserve">
</t>
    </r>
    <r>
      <rPr>
        <color rgb="FF1155CC"/>
        <u/>
      </rPr>
      <t>2</t>
    </r>
  </si>
  <si>
    <t>Mlbb- Zilong</t>
  </si>
  <si>
    <t>Zilong</t>
  </si>
  <si>
    <t>scene 71-105</t>
  </si>
  <si>
    <t>Rewell (40)</t>
  </si>
  <si>
    <t xml:space="preserve">Sketsa , storyboad, aset karater , benda , karater, dan beberapa gambar AI buat BG nya, </t>
  </si>
  <si>
    <r>
      <rPr>
        <color rgb="FF1155CC"/>
        <u/>
      </rPr>
      <t>Aset</t>
    </r>
    <r>
      <rPr/>
      <t xml:space="preserve">
</t>
    </r>
    <r>
      <rPr>
        <color rgb="FF1155CC"/>
        <u/>
      </rPr>
      <t>Storyboard</t>
    </r>
    <r>
      <rPr/>
      <t xml:space="preserve">
</t>
    </r>
    <r>
      <rPr>
        <color rgb="FF1155CC"/>
        <u/>
      </rPr>
      <t>AI background</t>
    </r>
  </si>
  <si>
    <r>
      <rPr>
        <color rgb="FF1155CC"/>
        <u/>
      </rPr>
      <t>Aset</t>
    </r>
    <r>
      <rPr/>
      <t xml:space="preserve">
</t>
    </r>
    <r>
      <rPr>
        <color rgb="FF1155CC"/>
        <u/>
      </rPr>
      <t>Storyboard</t>
    </r>
    <r>
      <rPr/>
      <t xml:space="preserve">
</t>
    </r>
    <r>
      <rPr>
        <color rgb="FF1155CC"/>
        <u/>
      </rPr>
      <t>AI background</t>
    </r>
  </si>
  <si>
    <t>Angelo (62)</t>
  </si>
  <si>
    <t>Masih kurang progres sekitar 40% lagi untuk di ilustrasikan, jadi belum bisa menyelesaikan hari ini.</t>
  </si>
  <si>
    <t>breeding slave 3</t>
  </si>
  <si>
    <t>PLACE ON EARTH TRYING TO KILL YOU</t>
  </si>
  <si>
    <t xml:space="preserve">36 Scene </t>
  </si>
  <si>
    <t>Amanda Scene</t>
  </si>
  <si>
    <t>Ioana (37)</t>
  </si>
  <si>
    <t>Tiny creatures, el silbon</t>
  </si>
  <si>
    <t>Amanda (30), Internal (5)</t>
  </si>
  <si>
    <r>
      <rPr>
        <color rgb="FF1155CC"/>
        <u/>
      </rPr>
      <t>client</t>
    </r>
    <r>
      <rPr/>
      <t xml:space="preserve">
</t>
    </r>
    <r>
      <rPr>
        <color rgb="FF1155CC"/>
        <u/>
      </rPr>
      <t>internal</t>
    </r>
  </si>
  <si>
    <t>Gay in Culture, Mahasona, Ways your body can betray you</t>
  </si>
  <si>
    <t>Julia (5), Internal (5), Amanda (1)</t>
  </si>
  <si>
    <t>Amanda Revisi 1 Scene, Mahasona dibarengin asseting</t>
  </si>
  <si>
    <r>
      <rPr>
        <color rgb="FF1155CC"/>
        <u/>
      </rPr>
      <t>Mahasona 1-5</t>
    </r>
    <r>
      <rPr/>
      <t xml:space="preserve">
</t>
    </r>
    <r>
      <rPr>
        <color rgb="FF1155CC"/>
        <u/>
      </rPr>
      <t>Julia 1-5</t>
    </r>
  </si>
  <si>
    <t>Amanda (1000)</t>
  </si>
  <si>
    <t>Test form</t>
  </si>
  <si>
    <t>Testing</t>
  </si>
  <si>
    <t>Why It Sucks to Be a Tribute Girl (in Ming Dynasty)</t>
  </si>
  <si>
    <t>Angelo (96)</t>
  </si>
  <si>
    <t>Tribute Girl (in Ming Dynasty) - 96 Scene</t>
  </si>
  <si>
    <t>Angelo 96 Scene</t>
  </si>
  <si>
    <t>who was columbus</t>
  </si>
  <si>
    <t>columbus</t>
  </si>
  <si>
    <t>Why It Sucks to Be a Tribute Girl (in Ming Dynasty), The Black Woman of Wat Samian Nari</t>
  </si>
  <si>
    <t>Angelo (5), Internal (31)</t>
  </si>
  <si>
    <t>Revisi Angelo - 5 Scene
Internal - 31 Scene</t>
  </si>
  <si>
    <t>Revisi Angelo + Internal</t>
  </si>
  <si>
    <t>Angelo (91)</t>
  </si>
  <si>
    <t>Sudah selesai sesuai dengan naskah terbaru</t>
  </si>
  <si>
    <t>breeding slave in joseon korea.4</t>
  </si>
  <si>
    <t xml:space="preserve">Skethcing + Asseting + Thumbnailing
</t>
  </si>
  <si>
    <r>
      <rPr>
        <color rgb="FF1155CC"/>
        <u/>
      </rPr>
      <t>Wendigo</t>
    </r>
    <r>
      <rPr/>
      <t xml:space="preserve">
</t>
    </r>
    <r>
      <rPr>
        <color rgb="FF1155CC"/>
        <u/>
      </rPr>
      <t>Thumbnail</t>
    </r>
  </si>
  <si>
    <t>MLBB- Zilong dan revisi Miya</t>
  </si>
  <si>
    <t>revisi miya 4
zilong 31 scene</t>
  </si>
  <si>
    <r>
      <rPr>
        <color rgb="FF1155CC"/>
        <u/>
      </rPr>
      <t>zilong scene 106-136</t>
    </r>
    <r>
      <rPr/>
      <t xml:space="preserve">
</t>
    </r>
    <r>
      <rPr>
        <color rgb="FF1155CC"/>
        <u/>
      </rPr>
      <t>revisi miya 4scene</t>
    </r>
  </si>
  <si>
    <t>Rewell (35)</t>
  </si>
  <si>
    <r>
      <rPr>
        <color rgb="FF1155CC"/>
        <u/>
      </rPr>
      <t>Projek reweell bagian title</t>
    </r>
    <r>
      <rPr/>
      <t xml:space="preserve">
</t>
    </r>
    <r>
      <rPr>
        <color rgb="FF1155CC"/>
        <u/>
      </rPr>
      <t>Projek rewell</t>
    </r>
    <r>
      <rPr/>
      <t xml:space="preserve">
</t>
    </r>
    <r>
      <rPr>
        <color rgb="FF1155CC"/>
        <u/>
      </rPr>
      <t>Projek rewell</t>
    </r>
  </si>
  <si>
    <r>
      <rPr>
        <color rgb="FF1155CC"/>
        <u/>
      </rPr>
      <t>Projek reweell bagian title</t>
    </r>
    <r>
      <rPr/>
      <t xml:space="preserve">
</t>
    </r>
    <r>
      <rPr>
        <color rgb="FF1155CC"/>
        <u/>
      </rPr>
      <t>Projek rewell</t>
    </r>
    <r>
      <rPr/>
      <t xml:space="preserve">
</t>
    </r>
    <r>
      <rPr>
        <color rgb="FF1155CC"/>
        <u/>
      </rPr>
      <t>Projek rewell</t>
    </r>
  </si>
  <si>
    <t>Julia (15)</t>
  </si>
  <si>
    <t>6-20 Scene</t>
  </si>
  <si>
    <t>el silbon</t>
  </si>
  <si>
    <t>Internal (25)</t>
  </si>
  <si>
    <t>end scene. cuman 25 doang yg dapet</t>
  </si>
  <si>
    <t>internal</t>
  </si>
  <si>
    <t>mummy, useless queen</t>
  </si>
  <si>
    <t>ioana (15), Ryan (0)</t>
  </si>
  <si>
    <t>ioana revisi + scenes
ryan assetting + stb</t>
  </si>
  <si>
    <r>
      <rPr>
        <color rgb="FF1155CC"/>
        <u/>
      </rPr>
      <t>ioana scenes</t>
    </r>
    <r>
      <rPr/>
      <t xml:space="preserve">
</t>
    </r>
    <r>
      <rPr>
        <color rgb="FF1155CC"/>
        <u/>
      </rPr>
      <t>Ioana revisi</t>
    </r>
    <r>
      <rPr/>
      <t xml:space="preserve">
</t>
    </r>
    <r>
      <rPr>
        <color rgb="FF1155CC"/>
        <u/>
      </rPr>
      <t>assetting ryan</t>
    </r>
    <r>
      <rPr/>
      <t xml:space="preserve">
</t>
    </r>
    <r>
      <rPr>
        <color rgb="FF1155CC"/>
        <u/>
      </rPr>
      <t>stb ryan</t>
    </r>
  </si>
  <si>
    <t>Mummified, King David</t>
  </si>
  <si>
    <t>ioana (18), rewell (18)</t>
  </si>
  <si>
    <t>yang ioana revisi</t>
  </si>
  <si>
    <r>
      <rPr>
        <color rgb="FF1155CC"/>
        <u/>
      </rPr>
      <t>1</t>
    </r>
    <r>
      <rPr/>
      <t xml:space="preserve">
</t>
    </r>
    <r>
      <rPr>
        <color rgb="FF1155CC"/>
        <u/>
      </rPr>
      <t>2</t>
    </r>
  </si>
  <si>
    <t>Tribute Girl (in Qing Dynasty)</t>
  </si>
  <si>
    <t>Sketching</t>
  </si>
  <si>
    <t>tribute girls, tuyul</t>
  </si>
  <si>
    <t>Angelo (0), Internal (0)</t>
  </si>
  <si>
    <t xml:space="preserve">2 2 nya sketching
</t>
  </si>
  <si>
    <t>sketches and assets</t>
  </si>
  <si>
    <t>Mlbb</t>
  </si>
  <si>
    <t>Internal (23)</t>
  </si>
  <si>
    <t>Zilong : 18
Marcel : 5</t>
  </si>
  <si>
    <r>
      <rPr>
        <color rgb="FF1155CC"/>
        <u/>
      </rPr>
      <t>scene 137-150</t>
    </r>
    <r>
      <rPr/>
      <t xml:space="preserve">
</t>
    </r>
    <r>
      <rPr>
        <color rgb="FF1155CC"/>
        <u/>
      </rPr>
      <t>4 scene</t>
    </r>
    <r>
      <rPr/>
      <t xml:space="preserve">
</t>
    </r>
    <r>
      <rPr>
        <color rgb="FF1155CC"/>
        <u/>
      </rPr>
      <t>5 scene</t>
    </r>
  </si>
  <si>
    <t>Zilong: 18
Marcel : 5</t>
  </si>
  <si>
    <r>
      <rPr>
        <color rgb="FF1155CC"/>
        <u/>
      </rPr>
      <t>4 scene</t>
    </r>
    <r>
      <rPr/>
      <t xml:space="preserve">
</t>
    </r>
    <r>
      <rPr>
        <color rgb="FF1155CC"/>
        <u/>
      </rPr>
      <t>5 scene</t>
    </r>
    <r>
      <rPr/>
      <t xml:space="preserve">
</t>
    </r>
    <r>
      <rPr>
        <color rgb="FF1155CC"/>
        <u/>
      </rPr>
      <t>14 scene</t>
    </r>
  </si>
  <si>
    <t>Rewell (43)</t>
  </si>
  <si>
    <t>Buat aset baru, tambah title , tambah SC revisi dan SC baru</t>
  </si>
  <si>
    <r>
      <rPr>
        <color rgb="FF1155CC"/>
        <u/>
      </rPr>
      <t>Projek rewell</t>
    </r>
    <r>
      <rPr/>
      <t xml:space="preserve">
</t>
    </r>
    <r>
      <rPr>
        <color rgb="FF1155CC"/>
        <u/>
      </rPr>
      <t>Projek</t>
    </r>
    <r>
      <rPr/>
      <t xml:space="preserve">
</t>
    </r>
    <r>
      <rPr>
        <color rgb="FF1155CC"/>
        <u/>
      </rPr>
      <t>Projek</t>
    </r>
  </si>
  <si>
    <r>
      <rPr>
        <color rgb="FF1155CC"/>
        <u/>
      </rPr>
      <t>Projek rewell</t>
    </r>
    <r>
      <rPr/>
      <t xml:space="preserve">
</t>
    </r>
    <r>
      <rPr>
        <color rgb="FF1155CC"/>
        <u/>
      </rPr>
      <t>Projek</t>
    </r>
    <r>
      <rPr/>
      <t xml:space="preserve">
</t>
    </r>
    <r>
      <rPr>
        <color rgb="FF1155CC"/>
        <u/>
      </rPr>
      <t>Projek</t>
    </r>
  </si>
  <si>
    <t>Your crappy life as history's most useless queen ladi jane</t>
  </si>
  <si>
    <t>Ryan (35)</t>
  </si>
  <si>
    <t>35 scene , sedang tahap edit note</t>
  </si>
  <si>
    <t>Lady jane 1</t>
  </si>
  <si>
    <t>Useless queen</t>
  </si>
  <si>
    <t>Julia (25)</t>
  </si>
  <si>
    <t>Scene 21-45</t>
  </si>
  <si>
    <t>Wendigo, Trial Komodo</t>
  </si>
  <si>
    <t>Internal (16), Jordan (22)</t>
  </si>
  <si>
    <t>38 Total (16 Wendigo) + Scene buat upload nanti kalo udah dikirimin aset dari klien</t>
  </si>
  <si>
    <r>
      <rPr>
        <color rgb="FF1155CC"/>
        <u/>
      </rPr>
      <t>Wendigo</t>
    </r>
    <r>
      <rPr/>
      <t xml:space="preserve">
</t>
    </r>
    <r>
      <rPr>
        <color rgb="FF1155CC"/>
        <u/>
      </rPr>
      <t>Trial Komodo</t>
    </r>
  </si>
  <si>
    <t>rewell (35)</t>
  </si>
  <si>
    <t>termasuk revisi</t>
  </si>
  <si>
    <t>Angelo (41)</t>
  </si>
  <si>
    <t>Angelo 41 Scene</t>
  </si>
  <si>
    <t>Crappy life as historys useless queen</t>
  </si>
  <si>
    <t>Ryan (36)</t>
  </si>
  <si>
    <t xml:space="preserve">Belum finish batas naskah, progress dilanjutkan kurang lebih lustrasi masih ada 33 sisa scene </t>
  </si>
  <si>
    <t>lady jane 2</t>
  </si>
  <si>
    <t>Keluh kisah MLBB</t>
  </si>
  <si>
    <t>buat aset</t>
  </si>
  <si>
    <t>aset karakter mlbb</t>
  </si>
  <si>
    <t>Rewell (42)</t>
  </si>
  <si>
    <t xml:space="preserve">Tambah scene dan revisi </t>
  </si>
  <si>
    <t>Projek rewell</t>
  </si>
  <si>
    <t>AI</t>
  </si>
  <si>
    <t>crhisten (0)</t>
  </si>
  <si>
    <t>sketsa dan asseting</t>
  </si>
  <si>
    <t>Julia (16)</t>
  </si>
  <si>
    <t xml:space="preserve">Sisanya scenenya nyusul sama punya bsk. </t>
  </si>
  <si>
    <t>Scene 46-61</t>
  </si>
  <si>
    <t>Ryan (62)</t>
  </si>
  <si>
    <t>A.I</t>
  </si>
  <si>
    <t>Christian (0)</t>
  </si>
  <si>
    <t>STB + Asseting</t>
  </si>
  <si>
    <r>
      <rPr>
        <color rgb="FF1155CC"/>
        <u/>
      </rPr>
      <t>Aset A.I</t>
    </r>
    <r>
      <rPr/>
      <t xml:space="preserve">
</t>
    </r>
    <r>
      <rPr>
        <color rgb="FF1155CC"/>
        <u/>
      </rPr>
      <t>Aset STB</t>
    </r>
  </si>
  <si>
    <t>Angelo (36)</t>
  </si>
  <si>
    <t>maaf aga telat, tadi siang keluar buat bikin pas foto, jadi uploadnya telat</t>
  </si>
  <si>
    <t>client</t>
  </si>
  <si>
    <t>King David, babi ngepet</t>
  </si>
  <si>
    <t>rewell (32), Internal (4)</t>
  </si>
  <si>
    <t>yg rewell termasuk revisi ubah bg</t>
  </si>
  <si>
    <r>
      <rPr>
        <color rgb="FF1155CC"/>
        <u/>
      </rPr>
      <t>2</t>
    </r>
    <r>
      <rPr/>
      <t xml:space="preserve">
</t>
    </r>
    <r>
      <rPr>
        <color rgb="FF1155CC"/>
        <u/>
      </rPr>
      <t>1</t>
    </r>
  </si>
  <si>
    <t xml:space="preserve">STB
</t>
  </si>
  <si>
    <t>STB</t>
  </si>
  <si>
    <t>Tribute girls</t>
  </si>
  <si>
    <t>Angelo (56)</t>
  </si>
  <si>
    <t>Tribute Girl (in Qing Dynasty) - 56 Scene</t>
  </si>
  <si>
    <t>Angelo 56 Scene</t>
  </si>
  <si>
    <t>Crappy life as history's useless queen</t>
  </si>
  <si>
    <t>Ryan (33)</t>
  </si>
  <si>
    <t>Finish ilustrasi</t>
  </si>
  <si>
    <t>Lady jane 3</t>
  </si>
  <si>
    <t>Flower Boat Girl (in Qing Dynasty)</t>
  </si>
  <si>
    <t>aseting karakter dan sketching</t>
  </si>
  <si>
    <r>
      <rPr>
        <color rgb="FF1155CC"/>
        <u/>
      </rPr>
      <t>1</t>
    </r>
    <r>
      <rPr/>
      <t xml:space="preserve">
</t>
    </r>
    <r>
      <rPr>
        <color rgb="FF1155CC"/>
        <u/>
      </rPr>
      <t>2</t>
    </r>
    <r>
      <rPr/>
      <t xml:space="preserve">
</t>
    </r>
    <r>
      <rPr>
        <color rgb="FF1155CC"/>
        <u/>
      </rPr>
      <t>3</t>
    </r>
    <r>
      <rPr/>
      <t xml:space="preserve">
</t>
    </r>
    <r>
      <rPr>
        <color rgb="FF1155CC"/>
        <u/>
      </rPr>
      <t>4</t>
    </r>
    <r>
      <rPr/>
      <t xml:space="preserve">
</t>
    </r>
    <r>
      <rPr>
        <color rgb="FF1155CC"/>
        <u/>
      </rPr>
      <t>5</t>
    </r>
  </si>
  <si>
    <t>Keluh Kisah MLBB</t>
  </si>
  <si>
    <t>Internal (15)</t>
  </si>
  <si>
    <t>buat scene 15
aset background
emoticon
beberapa efek</t>
  </si>
  <si>
    <t xml:space="preserve">buat scene 15
aset background dan detail efek game
</t>
  </si>
  <si>
    <r>
      <rPr>
        <color rgb="FF1155CC"/>
        <u/>
      </rPr>
      <t>background</t>
    </r>
    <r>
      <rPr/>
      <t xml:space="preserve">
</t>
    </r>
    <r>
      <rPr>
        <color rgb="FF1155CC"/>
        <u/>
      </rPr>
      <t>scene 15</t>
    </r>
    <r>
      <rPr/>
      <t xml:space="preserve">
</t>
    </r>
    <r>
      <rPr>
        <color rgb="FF1155CC"/>
        <u/>
      </rPr>
      <t>background</t>
    </r>
    <r>
      <rPr/>
      <t xml:space="preserve">
</t>
    </r>
    <r>
      <rPr>
        <color rgb="FF1155CC"/>
        <u/>
      </rPr>
      <t>detail kartu</t>
    </r>
  </si>
  <si>
    <t>buat scene 15
background 5
efek game dan detail</t>
  </si>
  <si>
    <r>
      <rPr>
        <color rgb="FF1155CC"/>
        <u/>
      </rPr>
      <t>background dan efek</t>
    </r>
    <r>
      <rPr/>
      <t xml:space="preserve">
</t>
    </r>
    <r>
      <rPr>
        <color rgb="FF1155CC"/>
        <u/>
      </rPr>
      <t>backgound</t>
    </r>
    <r>
      <rPr/>
      <t xml:space="preserve">
</t>
    </r>
    <r>
      <rPr>
        <color rgb="FF1155CC"/>
        <u/>
      </rPr>
      <t>scene 15</t>
    </r>
    <r>
      <rPr/>
      <t xml:space="preserve">
</t>
    </r>
    <r>
      <rPr>
        <color rgb="FF1155CC"/>
        <u/>
      </rPr>
      <t>detail card</t>
    </r>
  </si>
  <si>
    <r>
      <rPr>
        <color rgb="FF1155CC"/>
        <u/>
      </rPr>
      <t>Storyboqrd</t>
    </r>
    <r>
      <rPr/>
      <t xml:space="preserve">
</t>
    </r>
    <r>
      <rPr>
        <color rgb="FF1155CC"/>
        <u/>
      </rPr>
      <t>Aset png</t>
    </r>
    <r>
      <rPr/>
      <t xml:space="preserve">
</t>
    </r>
    <r>
      <rPr>
        <color rgb="FF1155CC"/>
        <u/>
      </rPr>
      <t>Aset julia</t>
    </r>
  </si>
  <si>
    <r>
      <rPr>
        <color rgb="FF1155CC"/>
        <u/>
      </rPr>
      <t>Storyboqrd</t>
    </r>
    <r>
      <rPr/>
      <t xml:space="preserve">
</t>
    </r>
    <r>
      <rPr>
        <color rgb="FF1155CC"/>
        <u/>
      </rPr>
      <t>Aset png</t>
    </r>
    <r>
      <rPr/>
      <t xml:space="preserve">
</t>
    </r>
    <r>
      <rPr>
        <color rgb="FF1155CC"/>
        <u/>
      </rPr>
      <t>Aset julia</t>
    </r>
  </si>
  <si>
    <t>Kristin (35)</t>
  </si>
  <si>
    <t>Julia (22)</t>
  </si>
  <si>
    <t>Scene 62-83</t>
  </si>
  <si>
    <t>Roro kidul, Flower Boat Girl (in Qing Dynasty)</t>
  </si>
  <si>
    <t>Internal (16), Angelo (0)</t>
  </si>
  <si>
    <t>Angelo (49)</t>
  </si>
  <si>
    <t>Christian (35)</t>
  </si>
  <si>
    <t>35 Scene</t>
  </si>
  <si>
    <t>Christine A.I</t>
  </si>
  <si>
    <t>Roro</t>
  </si>
  <si>
    <t>Crappy life as history useless queen</t>
  </si>
  <si>
    <t>Ryan (32)</t>
  </si>
  <si>
    <t>Aku udah clock out di tanggal 8 sekitar jam 5an , tetapi saaat mau login di jam 9 pagi kembali meminta clock out.</t>
  </si>
  <si>
    <t>Compilation video master</t>
  </si>
  <si>
    <t>sketching</t>
  </si>
  <si>
    <t>sketsa compilation master</t>
  </si>
  <si>
    <t>scene 36-70</t>
  </si>
  <si>
    <t>servant in rich houses, tuyul</t>
  </si>
  <si>
    <t>jason (0), Internal (0)</t>
  </si>
  <si>
    <t>jason blom ada script, tuyul masih sketching</t>
  </si>
  <si>
    <t>Angelo (46)</t>
  </si>
  <si>
    <t>christen (35)</t>
  </si>
  <si>
    <t>Woman in Comanche Captivity, King David</t>
  </si>
  <si>
    <t>Julia (25), Rewell (11)</t>
  </si>
  <si>
    <t xml:space="preserve">Projek julia ada beberapa tambahan nanti malam </t>
  </si>
  <si>
    <r>
      <rPr>
        <color rgb="FF1155CC"/>
        <u/>
      </rPr>
      <t>Projek julia</t>
    </r>
    <r>
      <rPr/>
      <t xml:space="preserve">
</t>
    </r>
    <r>
      <rPr>
        <color rgb="FF1155CC"/>
        <u/>
      </rPr>
      <t>Revisi rewel</t>
    </r>
  </si>
  <si>
    <r>
      <rPr>
        <color rgb="FF1155CC"/>
        <u/>
      </rPr>
      <t>Projek julia</t>
    </r>
    <r>
      <rPr/>
      <t xml:space="preserve">
</t>
    </r>
    <r>
      <rPr>
        <color rgb="FF1155CC"/>
        <u/>
      </rPr>
      <t>Revisi rewel</t>
    </r>
  </si>
  <si>
    <t>Julia (60)</t>
  </si>
  <si>
    <t>Scene 62-123</t>
  </si>
  <si>
    <t>Most Useless Queen, Flower Boat Girl (in Qing Dynasty)</t>
  </si>
  <si>
    <t>Ryan (1), Angelo (35)</t>
  </si>
  <si>
    <t>How Slavery Really Started</t>
  </si>
  <si>
    <t xml:space="preserve">Sketching </t>
  </si>
  <si>
    <t>Christian (36)</t>
  </si>
  <si>
    <t xml:space="preserve">36 Adegan </t>
  </si>
  <si>
    <t>Christian 36</t>
  </si>
  <si>
    <t>Jason (0)</t>
  </si>
  <si>
    <t>Compilation Video Master</t>
  </si>
  <si>
    <t>Compilation 1</t>
  </si>
  <si>
    <t>How Slavery Really Started, Tribute Girl (in Qing Dynasty)</t>
  </si>
  <si>
    <t>Alex (34), Angelo (1)</t>
  </si>
  <si>
    <t>Alex - 34
Angelo - 1 (Revisi)</t>
  </si>
  <si>
    <t>Alex + Angelo</t>
  </si>
  <si>
    <t>Internal (20)</t>
  </si>
  <si>
    <t>scene 71-90</t>
  </si>
  <si>
    <t>Julia (29), Rewell (6)</t>
  </si>
  <si>
    <t>Projek julia nanti malam ada tambah buatan nya sampai ending nya tinggal 27 sc lagi</t>
  </si>
  <si>
    <r>
      <rPr>
        <color rgb="FF1155CC"/>
        <u/>
      </rPr>
      <t>Tambahan SC</t>
    </r>
    <r>
      <rPr/>
      <t xml:space="preserve">
</t>
    </r>
    <r>
      <rPr>
        <color rgb="FF1155CC"/>
        <u/>
      </rPr>
      <t>Projek julia</t>
    </r>
    <r>
      <rPr/>
      <t xml:space="preserve">
</t>
    </r>
    <r>
      <rPr>
        <color rgb="FF1155CC"/>
        <u/>
      </rPr>
      <t>Revisi rewel</t>
    </r>
  </si>
  <si>
    <r>
      <rPr>
        <color rgb="FF1155CC"/>
        <u/>
      </rPr>
      <t>Tambahan SC</t>
    </r>
    <r>
      <rPr/>
      <t xml:space="preserve">
</t>
    </r>
    <r>
      <rPr>
        <color rgb="FF1155CC"/>
        <u/>
      </rPr>
      <t>Projek julia</t>
    </r>
    <r>
      <rPr/>
      <t xml:space="preserve">
</t>
    </r>
    <r>
      <rPr>
        <color rgb="FF1155CC"/>
        <u/>
      </rPr>
      <t>Revisi rewel</t>
    </r>
  </si>
  <si>
    <t>Julia (37)</t>
  </si>
  <si>
    <t>Scene 1-12</t>
  </si>
  <si>
    <t>Angelo (72)</t>
  </si>
  <si>
    <t>servants in rich houses</t>
  </si>
  <si>
    <t>maaf hari ini telat ngisi karna kan harusnya kemaren sketching, tapi ku g tau kalo scriptnya kudu di jadiin text sendiri, makanya hari ini ngejer sketching plus 35 scene</t>
  </si>
  <si>
    <t>Christian (29)</t>
  </si>
  <si>
    <t>Melanjutkan Progress dari 71 ke 98 + 2 revisi Adegan</t>
  </si>
  <si>
    <t>Christin Progress</t>
  </si>
  <si>
    <t>Angelo (84)</t>
  </si>
  <si>
    <t>Servants in rich house</t>
  </si>
  <si>
    <t>King David, Woman in Comanche Captivity</t>
  </si>
  <si>
    <t>Rewell (6), Julia (29)</t>
  </si>
  <si>
    <t>Revisi rewell
Dan tambah SC julia 
Kemaren udh absen ya ...tadi kok disuruh lagi</t>
  </si>
  <si>
    <r>
      <rPr>
        <color rgb="FF1155CC"/>
        <u/>
      </rPr>
      <t>Projek julia</t>
    </r>
    <r>
      <rPr/>
      <t xml:space="preserve">
</t>
    </r>
    <r>
      <rPr>
        <color rgb="FF1155CC"/>
        <u/>
      </rPr>
      <t>Revisi</t>
    </r>
    <r>
      <rPr/>
      <t xml:space="preserve">
</t>
    </r>
    <r>
      <rPr>
        <color rgb="FF1155CC"/>
        <u/>
      </rPr>
      <t>Tambah SC julia baru</t>
    </r>
  </si>
  <si>
    <r>
      <rPr>
        <color rgb="FF1155CC"/>
        <u/>
      </rPr>
      <t>Projek julia</t>
    </r>
    <r>
      <rPr/>
      <t xml:space="preserve">
</t>
    </r>
    <r>
      <rPr>
        <color rgb="FF1155CC"/>
        <u/>
      </rPr>
      <t>Revisi</t>
    </r>
    <r>
      <rPr/>
      <t xml:space="preserve">
</t>
    </r>
    <r>
      <rPr>
        <color rgb="FF1155CC"/>
        <u/>
      </rPr>
      <t>Tambah SC julia baru</t>
    </r>
  </si>
  <si>
    <t>A. I</t>
  </si>
  <si>
    <t>Christian (28)</t>
  </si>
  <si>
    <t>Bug system</t>
  </si>
  <si>
    <t>att_1774316716686_f4p3a6tn5</t>
  </si>
  <si>
    <t xml:space="preserve">Nur hidayah </t>
  </si>
  <si>
    <t>Finishing illustration</t>
  </si>
  <si>
    <t>att_1774316766951_40rbh2a2f</t>
  </si>
  <si>
    <t>ilustrasi project Life of A Medieval Peasent</t>
  </si>
  <si>
    <t>att_1774316916059_of5muq0on</t>
  </si>
  <si>
    <t>Membuat SC projek angelo sampai siap hari ini</t>
  </si>
  <si>
    <t>att_1774317016378_jen12pa68</t>
  </si>
  <si>
    <t>Im working on Amanda</t>
  </si>
  <si>
    <t>att_1774317069337_pjweapa7g</t>
  </si>
  <si>
    <t>att_1774317105329_grmapgjrx</t>
  </si>
  <si>
    <t>att_1774317147228_0ovibswe5</t>
  </si>
  <si>
    <t>Julia_ concubine male anchine china</t>
  </si>
  <si>
    <t>att_1774317186712_jjjgd2xqj</t>
  </si>
  <si>
    <t>finish illustration draft</t>
  </si>
  <si>
    <t>att_1774317580927_xpccz91zc</t>
  </si>
  <si>
    <t>Assetting Jason + finishing some Ryan scenes</t>
  </si>
  <si>
    <t>att_1774317737793_6baecz7cd</t>
  </si>
  <si>
    <t>att_1774317991179_ebm6k78h6</t>
  </si>
  <si>
    <t>Membuat Illus.</t>
  </si>
  <si>
    <t>att_1774349904941_y6a50bmqm</t>
  </si>
  <si>
    <t>Julia, concubine ini anchient china</t>
  </si>
  <si>
    <t>att_1774350112566_8ezmold1x</t>
  </si>
  <si>
    <t>att_1774350756751_udqf8pz0a</t>
  </si>
  <si>
    <t>Ioana + Internal</t>
  </si>
  <si>
    <t>att_1774396850130_dyd56p3v9</t>
  </si>
  <si>
    <t>I Will do:
1. jason, ,</t>
  </si>
  <si>
    <t>att_1774400665918_0e8tpb9xi</t>
  </si>
  <si>
    <t>I Will do:
1. Allan, Walk Fixes a Broken Brain, 
additional notes: Sekarang mengerjakan sektsa dan aset</t>
  </si>
  <si>
    <t>att_1774400721044_nuec3rtoh</t>
  </si>
  <si>
    <t>I Will do:
1. Allan, Walk Fixes a Broken Brain, Sketching
additional notes: Sekarang mengerjakan sektsa dan aset</t>
  </si>
  <si>
    <t>att_1774401888806_lib2plppf</t>
  </si>
  <si>
    <t>I Will do:
1. Internal, Mlbb, Marcel</t>
  </si>
  <si>
    <t>att_1774401957033_wcn1e286k</t>
  </si>
  <si>
    <t>I Will do:
1. Internal, , marcel
additional notes: scene 71-106</t>
  </si>
  <si>
    <t>att_1774402011246_t9ilpoung</t>
  </si>
  <si>
    <t>I Will do:
1. Internal, Mlbb, Marcel
additional notes: Scene 71-106</t>
  </si>
  <si>
    <t>att_1774402039047_71icetbxo</t>
  </si>
  <si>
    <t>att_1774402096579_7xvd0q1t5</t>
  </si>
  <si>
    <t>I Will do:
1. Internal, Mlbb, Marcel
additional notes: Lanjut scene 71-106</t>
  </si>
  <si>
    <t>att_1774402299368_otu4ba953</t>
  </si>
  <si>
    <t>I Will do:
1. Julia, Male Concubine in Ancient China, Melanjutkan progres ilustrasi selanjutnya</t>
  </si>
  <si>
    <t>att_1774402483722_e5ep1d1ts</t>
  </si>
  <si>
    <t>I Will do:
1. Amanda, REAL CONDITIONS THAT SOUND LIKE SUPERPOWERS, Sketching and asseting</t>
  </si>
  <si>
    <t>att_1774402628272_239e9qy4e</t>
  </si>
  <si>
    <t>att_1774402956832_xdjen8i4t</t>
  </si>
  <si>
    <t>I Will do:
1. Internal, MLBB, Marcel</t>
  </si>
  <si>
    <t>att_1774403103201_kth6zhw1f</t>
  </si>
  <si>
    <t>att_1774403166794_2d88v580n</t>
  </si>
  <si>
    <t>att_1774403353807_myqpsblzu</t>
  </si>
  <si>
    <t>I Will do:
1. Internal, Mlbb, Marcel
additional notes: Illustrasi scene ke 71 sampai 106</t>
  </si>
  <si>
    <t>att_1774403692783_gf6hiokdc</t>
  </si>
  <si>
    <t>I Will do:
1. Ioana, Eaten by Bacteria,</t>
  </si>
  <si>
    <t>att_1774405631545_px5thmk6f</t>
  </si>
  <si>
    <t>I Will do:
1. Jason, Life of A Medieval Peasent, Nice</t>
  </si>
  <si>
    <t>att_1774405733401_khjmsbj84</t>
  </si>
  <si>
    <t>att_1774411652451_wys3yqyg2</t>
  </si>
  <si>
    <t>I Will do:
1. Amanda, REAL CONDITIONS THAT SOUND LIKE SUPERPOWERS,</t>
  </si>
  <si>
    <t>att_1774432837442_slryvg088</t>
  </si>
  <si>
    <t>I Will do:
1. Ioana, Eaten by Bacteria, 30 Scene
2. Internal, The Black Woman of Wat Samian Nari, 5 Scene</t>
  </si>
  <si>
    <t>att_1774433329058_08wdf250q</t>
  </si>
  <si>
    <t>I Will do:
1. Julia, Male Concubine in Ancient China, Melanjutkan progress ilustrasi</t>
  </si>
  <si>
    <t>att_1774433461269_fv84j3q42</t>
  </si>
  <si>
    <t>I Will do:
1. Julia, Male Concubine in Ancient China, 35</t>
  </si>
  <si>
    <t>att_1774437782327_vj6wwnohh</t>
  </si>
  <si>
    <t>I Will do:
1. Ioana, ,</t>
  </si>
  <si>
    <t>att_1774481221251_b84h1te0r</t>
  </si>
  <si>
    <t>I Will do:
1. jason, Life of A Medieval Peasent, 
2. Internal, babi ngepet,</t>
  </si>
  <si>
    <t>att_1774487760142_d07jat3t5</t>
  </si>
  <si>
    <t>I Will do:
1. Julia, Male Concubine in Ancient China, Melanjutkan progres</t>
  </si>
  <si>
    <t>att_1774489496558_6ozektycw</t>
  </si>
  <si>
    <t>I Will do:
1. Internal, Mlbb, Alucard
additional notes: mengerjakan aset dan meneruskan scene kemarin</t>
  </si>
  <si>
    <t>att_1774489561604_q63h34zbp</t>
  </si>
  <si>
    <t>Mengerjakan projek alan</t>
  </si>
  <si>
    <t>att_1774489618319_oetsttrik</t>
  </si>
  <si>
    <t>I Will do:
1. Allan, Walk Fixes a Broken Brain, Mengerjakan projek scene alan</t>
  </si>
  <si>
    <t>att_1774489953343_quj5jp2tp</t>
  </si>
  <si>
    <t>att_1774490296060_pivv2jnsy</t>
  </si>
  <si>
    <t>att_1774490308181_k94ekcums</t>
  </si>
  <si>
    <t>I Will do:
1. Angelo, , 
2. Ioana, , 
3. Internal, ,</t>
  </si>
  <si>
    <t>att_1774490779635_0sk7o5xu3</t>
  </si>
  <si>
    <t>I Will do:
1. Angelo, Slave Midwife (in Qing Dynasty), Revision
2. Ioana, Eaten by Bacteria, Revision
3. Amanda, Ways your body can betray you, Main Project</t>
  </si>
  <si>
    <t>att_1774490992177_oleo7a3fo</t>
  </si>
  <si>
    <t>I Will do:
1. Jason, Life of A Medieval Peasent, Finishing minimum 35 scenes</t>
  </si>
  <si>
    <t>att_1774522035362_0weo5t342</t>
  </si>
  <si>
    <t>att_1774522234413_czqehbuqg</t>
  </si>
  <si>
    <t>I Will do:
1. Amanda, REAL CONDITIONS THAT SOUND LIKE SUPERPOWERS, 
additional notes: blublublul</t>
  </si>
  <si>
    <t>att_1774522699079_5mm0c0a9u</t>
  </si>
  <si>
    <t>I Will do:
1. Allan, Why You Have Social Anxiety,</t>
  </si>
  <si>
    <t>att_1774570667774_uwnhvzlax</t>
  </si>
  <si>
    <t>I Will do:
1. jason, The Most Dangerous Experiment,</t>
  </si>
  <si>
    <t>att_1774573651799_fv1hylnru</t>
  </si>
  <si>
    <t>I Will do:
1. Julia, Daughter of king Xerxes, Ilustrasi</t>
  </si>
  <si>
    <t>att_1774574040607_xvene6st5</t>
  </si>
  <si>
    <t>att_1774574505118_vvst3c1xv</t>
  </si>
  <si>
    <t>I Will do:
1. Allan, Walk Fixes a Broken Brain, Melanjutkan beberapa scene terakhir
2. Jorge, THE MOST BRUTAL EXECUTION METHODS, Melanjut kan revisi</t>
  </si>
  <si>
    <t>att_1774574510659_h57knepqh</t>
  </si>
  <si>
    <t>att_1774576078864_xsajs5sg</t>
  </si>
  <si>
    <t>I Will do:
1. Julia, ,</t>
  </si>
  <si>
    <t>att_1774576100825_7fcaeq3yo</t>
  </si>
  <si>
    <t>I Will do:
1. Julia, Daughter of king Xerxes,</t>
  </si>
  <si>
    <t>att_1774576133176_527oeu7h2</t>
  </si>
  <si>
    <t>I Will do:
1. Internal, Mlbb, Alucard
additional notes: melanjutkan scene ke 60-94</t>
  </si>
  <si>
    <t>att_1774576176595_xxeadte98</t>
  </si>
  <si>
    <t>I Will do:
1. Internal, , Alucard
additional notes: melanjutkan scene 60-94</t>
  </si>
  <si>
    <t>att_1774576263954_74zd3b2ck</t>
  </si>
  <si>
    <t>att_1774576831344_5rgusuusu</t>
  </si>
  <si>
    <t>I Will do:
1. Jason, Life of A Medieval Peasent, Finishing all of the remaining scenes</t>
  </si>
  <si>
    <t>att_1774576908541_flcqwu66i</t>
  </si>
  <si>
    <t>I Will do:
1. Internal, , 
2. Amanda, ,</t>
  </si>
  <si>
    <t>att_1774579369371_wyo235ea5</t>
  </si>
  <si>
    <t>I Will do:
1. Amanda, Ways your body can betray you,</t>
  </si>
  <si>
    <t>att_1774656956089_szyplyz0c</t>
  </si>
  <si>
    <t>att_1774661593110_atge5dhfk</t>
  </si>
  <si>
    <t>I Will do:
1. Jorge, THE MOST BRUTAL EXECUTION METHODS, Revisi</t>
  </si>
  <si>
    <t>att_1774661737925_33rgswgux</t>
  </si>
  <si>
    <t>I Will do:
1. Internal, Mlbb, Alucard
additional notes: melanjutkan scene ke 95</t>
  </si>
  <si>
    <t>att_1774662364406_wp5ch5ln7</t>
  </si>
  <si>
    <t>I Will do:
1. Dena, Test Sample, New Client
additional notes: Meisha War</t>
  </si>
  <si>
    <t>att_1774663205076_odixbkrge</t>
  </si>
  <si>
    <t>I Will do:
1. Meisha, Most Unfair Wars in Human History,</t>
  </si>
  <si>
    <t>att_1774663226822_qrs79st88</t>
  </si>
  <si>
    <t>I Will do:
1. Meisha, Most Unfair Wars in Human History, 
additional notes: Dena</t>
  </si>
  <si>
    <t>att_1774663228608_4tpe6zgd4</t>
  </si>
  <si>
    <t>att_1774663251970_vf06zvgjt</t>
  </si>
  <si>
    <t>att_1774663302647_y4swaw2zr</t>
  </si>
  <si>
    <t>att_1774663360417_m4m84irz4</t>
  </si>
  <si>
    <t>I Will do:
1. Ioana, Every way you can be mummified, Asserting + storyboarding</t>
  </si>
  <si>
    <t>att_1774663503830_d5d4g3gmt</t>
  </si>
  <si>
    <t>I Will do:
1. Julia, Daughter of king Xerxes, Lanjutkan progres dan revisi</t>
  </si>
  <si>
    <t>att_1774679348906_8ay7aiqpt</t>
  </si>
  <si>
    <t>att_1774679439644_jvwbah04a</t>
  </si>
  <si>
    <t>att_1774832630412_r39cit8tx</t>
  </si>
  <si>
    <t>I Will do:
1. Angelo, Breeding Slave (in Joseon Korea), Sketching dan pembuatan aset visual</t>
  </si>
  <si>
    <t>att_1774834822160_ag8l7vsh1</t>
  </si>
  <si>
    <t>att_1774835253651_sdqihf9jh</t>
  </si>
  <si>
    <t>I Will do:
1. Internal, Nenek gayung, Buat scena ending</t>
  </si>
  <si>
    <t>att_1774835259322_q0doqutl8</t>
  </si>
  <si>
    <t>att_1774835278503_h3g1ezlbf</t>
  </si>
  <si>
    <t>I Will do:
1. Internal, Mlbb, Zilong
additional notes: buat aset dan storyboard</t>
  </si>
  <si>
    <t>att_1774835758377_io67e9leh</t>
  </si>
  <si>
    <t>I Will do:
1. meisha, Most Unfair Wars in Human History,</t>
  </si>
  <si>
    <t>att_1774835938786_3hzkfmqsf</t>
  </si>
  <si>
    <t>I Will do:
1. Angelo, Tribute Girl (Ming Dynasty),</t>
  </si>
  <si>
    <t>att_1774836109741_96yiqxr7x</t>
  </si>
  <si>
    <t>I Will do:
1. Ioana, Mummy, Working on the scenes</t>
  </si>
  <si>
    <t>att_1774836246772_knss8jo8u</t>
  </si>
  <si>
    <t>att_1774836726145_sd9dfmip8</t>
  </si>
  <si>
    <t>I Will do:
1. Meisha, ,</t>
  </si>
  <si>
    <t>att_1774916520511_t5q6p1upi</t>
  </si>
  <si>
    <t>att_1774920674568_258kgnm6o</t>
  </si>
  <si>
    <t>I Will do:
1. Internal, Mlbb, Zilong
additional notes: buat scene 1-35</t>
  </si>
  <si>
    <t>att_1774920789305_evvfq1y7w</t>
  </si>
  <si>
    <t>I Will do:
1. Amanda, REAL CONDITIONS THAT SOUND LIKE SUPERPOWERS, Buat scene nya sampai siap</t>
  </si>
  <si>
    <t>att_1774920798439_awlj6ekq3</t>
  </si>
  <si>
    <t>att_1774921438490_qyxajiokd</t>
  </si>
  <si>
    <t>Panda geming</t>
  </si>
  <si>
    <t>I Will do:
1. Amanda, PLACE ON EARTH TRYING TO KILL YOU RIGHT NOW, Sketching + STB
additional notes: Wendigo</t>
  </si>
  <si>
    <t>att_1774921493338_gxc8no7ll</t>
  </si>
  <si>
    <t>I Will do:
1. Alex, ,</t>
  </si>
  <si>
    <t>att_1774922053622_ravamig04</t>
  </si>
  <si>
    <t>att_1774922506158_q8lcl5uun</t>
  </si>
  <si>
    <t>I Will do:
1. Angelo, Slave Midwife (in Qing Dynasty), Melanjutkan progress</t>
  </si>
  <si>
    <t>att_1774922819728_i5p6gm6vn</t>
  </si>
  <si>
    <t>I Will do:
1. Internal, ,</t>
  </si>
  <si>
    <t>att_1774922894573_b5073ns01</t>
  </si>
  <si>
    <t>I Will do:
1. Amanda, ,</t>
  </si>
  <si>
    <t>att_1774922918876_2ds7qosc7</t>
  </si>
  <si>
    <t>I Will do:
1. Amanda, Tiny Creatures,</t>
  </si>
  <si>
    <t>att_1774922954362_upccrwiv2</t>
  </si>
  <si>
    <t>I Will do:
1. Ioana, Mummy, Werking</t>
  </si>
  <si>
    <t>att_1774924083630_p4chnyt6a</t>
  </si>
  <si>
    <t>att_1775005363417_wvhvyqqr5</t>
  </si>
  <si>
    <t>I Will do:
1. jason, The Most Dangerous Experiment, 
2. Internal, babi ngepet,</t>
  </si>
  <si>
    <t>att_1775006622215_40gw2n0pe</t>
  </si>
  <si>
    <t>I Will do:
1. Alex, who was columbus,</t>
  </si>
  <si>
    <t>att_1775007050160_5z7whshka</t>
  </si>
  <si>
    <t>I Will do:
1. Amanda, PLACE ON EARTH TRYING TO KILL YOU RIGHT NOW,</t>
  </si>
  <si>
    <t>att_1775007156591_mzz7nujc4</t>
  </si>
  <si>
    <t>I Will do:
1. Angelo, Breeding Slave (in Joseon Korea), Melanjutkan progres ilustrasi</t>
  </si>
  <si>
    <t>att_1775007406928_3q66zkk7e</t>
  </si>
  <si>
    <t>I Will do:
1. Amanda, Ways your body can betray you, 27 scene lagi</t>
  </si>
  <si>
    <t>att_1775007412972_kkj3jdfc2</t>
  </si>
  <si>
    <t>att_1775008118997_n75zibzn6</t>
  </si>
  <si>
    <t>I Will do:
1. Internal, Mlbb, Zilong
additional notes: melanjutkan ilustrasi scene ke 36 sampai  ke 70</t>
  </si>
  <si>
    <t>att_1775008356951_tw9ud6mu0</t>
  </si>
  <si>
    <t>att_1775008499330_30mvhfh6b</t>
  </si>
  <si>
    <t>att_1775009017886_f6jxkhz7q</t>
  </si>
  <si>
    <t>att_1775009025788_k6e48mg0h</t>
  </si>
  <si>
    <t>I Will do:
1. Alex, , 
2. Amanda, Ways your body can betray you,</t>
  </si>
  <si>
    <t>att_1775026827696_9bst6xo0t</t>
  </si>
  <si>
    <t>I Will do:
1. Alex, , 
additional notes: salah pencet jadi lock out</t>
  </si>
  <si>
    <t>att_1775089824044_jb8ikpukk</t>
  </si>
  <si>
    <t>I Will do:
1. ioana, mummified, 
2. Internal, babi ngepet,</t>
  </si>
  <si>
    <t>att_1775092980316_mqenjaptv</t>
  </si>
  <si>
    <t>I Will do:
1. Alex, who was colombus,</t>
  </si>
  <si>
    <t>att_1775093113910_lstnjbpq5</t>
  </si>
  <si>
    <t>att_1775093291309_lslamtmpf</t>
  </si>
  <si>
    <t>I Will do:
1. Internal, Mlbb, Zilong
additional notes: Melanjutkan scene ke 71</t>
  </si>
  <si>
    <t>att_1775093520296_ceygxt49i</t>
  </si>
  <si>
    <t>I Will do:
1. Rewell, King David, Aset + BG + STORYBOARD
additional notes: Buat aset2 projek rewell</t>
  </si>
  <si>
    <t>att_1775094212558_zenzqckl4</t>
  </si>
  <si>
    <t>I Will do:
1. Amanda, PLACE ON EARTH THAT WILL KILL YOU, Hari 3</t>
  </si>
  <si>
    <t>att_1775094228336_h7zggzptb</t>
  </si>
  <si>
    <t>I Will do:
1. Ioana, Mummy,</t>
  </si>
  <si>
    <t>att_1775094887859_xy0vu2y3t</t>
  </si>
  <si>
    <t>I Will do:
1. Angelo, Why It Sucks to Be a Tribute Girl (in Ming Dynasty),</t>
  </si>
  <si>
    <t>att_1775094944575_56kjoosar</t>
  </si>
  <si>
    <t>att_1775095246066_1qwk736uo</t>
  </si>
  <si>
    <t>att_1775128944853_bdxyiumhz</t>
  </si>
  <si>
    <t>I Will do:
1. Amanda, REAL CONDITIONS THAT SOUND LIKE SUPERPOWERS, lallaaa</t>
  </si>
  <si>
    <t>att_1775265050650_o35nliqgn</t>
  </si>
  <si>
    <t>I Will do:
1. Internal, babi ngepet,</t>
  </si>
  <si>
    <t>att_1775265817666_phe3d8c3x</t>
  </si>
  <si>
    <t>att_1775267199331_4vbqjzzlm</t>
  </si>
  <si>
    <t>I Will do:
1. Angelo, Breeding Slave (in Joseon Korea), melanjutkan progres</t>
  </si>
  <si>
    <t>att_1775267271213_xcon1ayul</t>
  </si>
  <si>
    <t>I Will do:
1. Rewell, King David,</t>
  </si>
  <si>
    <t>att_1775267344608_uabx1besz</t>
  </si>
  <si>
    <t>I Will do:
1. Internal, Black Woman of Wat Samian Nari,</t>
  </si>
  <si>
    <t>att_1775267479872_e88gpyhja</t>
  </si>
  <si>
    <t>I Will do:
1. Ioana, Mummy, 
2. Ryan, Useless queen,</t>
  </si>
  <si>
    <t>att_1775267501594_oh66igq6y</t>
  </si>
  <si>
    <t>I Will do:
1. Internal, Wendigo, Sketching + STB + Asset</t>
  </si>
  <si>
    <t>att_1775267535313_n2577ihro</t>
  </si>
  <si>
    <t>I Will do:
1. Internal, Mlbb, zilong
additional notes: melanjutkan scene ke 106</t>
  </si>
  <si>
    <t>att_1775267631675_pyr3hwzdi</t>
  </si>
  <si>
    <t>I Will do:
1. Internal, El silbon,</t>
  </si>
  <si>
    <t>att_1775269537171_5i1wb0tmt</t>
  </si>
  <si>
    <t>att_1775436529493_68e95lkht</t>
  </si>
  <si>
    <t>I Will do:
1. rewell, King David,</t>
  </si>
  <si>
    <t>att_1775438841626_wy6a6vlu3</t>
  </si>
  <si>
    <t>I Will do:
1. Internal, Mlbb, Zilong
additional notes: melanjutkan scene 136 sampai selesai</t>
  </si>
  <si>
    <t>att_1775439515923_u3b4p4u74</t>
  </si>
  <si>
    <t>att_1775439714797_sir5thzrf</t>
  </si>
  <si>
    <t>att_1775439808740_59afzep0x</t>
  </si>
  <si>
    <t>I Will do:
1. Rewell, King David, 
additional notes: Revisi aset, buat beberapa SC lagi</t>
  </si>
  <si>
    <t>att_1775440097348_i731t68x4</t>
  </si>
  <si>
    <t>att_1775440613083_5bh5rz6qi</t>
  </si>
  <si>
    <t>I Will do:
1. Jordan, Ally Gator, REVISI</t>
  </si>
  <si>
    <t>att_1775440620290_9z3tfg496</t>
  </si>
  <si>
    <t>I Will do:
1. Angelo, Tribute girl, 
2. Internal, Tuyul,</t>
  </si>
  <si>
    <t>att_1775441121877_qxlkow6h8</t>
  </si>
  <si>
    <t>I Will do:
1. Julia, Gay in Culture,</t>
  </si>
  <si>
    <t>att_1775443651464_3z8kve0ws</t>
  </si>
  <si>
    <t>I Will do:
1. Ryan, Scandalous Life of Messalina, Maaf terlambat clock in</t>
  </si>
  <si>
    <t>att_1775522089664_9yg8id47k</t>
  </si>
  <si>
    <t>I Will do:
1. rewell, King David, 
2. Internal, babi ngepet,</t>
  </si>
  <si>
    <t>att_1775524682191_6de0tnie1</t>
  </si>
  <si>
    <t>I Will do:
1. Ryan, your crappy life as history most queen useless queen, Melanjutkan progress</t>
  </si>
  <si>
    <t>att_1775525177398_ewwbzhmly</t>
  </si>
  <si>
    <t>I Will do:
1. christen, ,</t>
  </si>
  <si>
    <t>att_1775525515075_7kvk859sd</t>
  </si>
  <si>
    <t>I Will do:
1. Internal, Mlbb, Keluh kesisah Mlbb #1
additional notes: buat aset dan storyboard</t>
  </si>
  <si>
    <t>att_1775525649694_gevf5zt8t</t>
  </si>
  <si>
    <t>I Will do:
1. Rewell, King David, Scene</t>
  </si>
  <si>
    <t>att_1775526707165_6q8j8br1s</t>
  </si>
  <si>
    <t>I Will do:
1. Christian, A. I, Sketching + Asseting</t>
  </si>
  <si>
    <t>att_1775526943510_il0gkpajg</t>
  </si>
  <si>
    <t>I Will do:
1. Angelo, Tribute Girl (in Qing Dynasty),</t>
  </si>
  <si>
    <t>att_1775527478433_j401bnc3g</t>
  </si>
  <si>
    <t>I Will do:
1. Ryan, Useless queen,</t>
  </si>
  <si>
    <t>att_1775527773781_xjd2o06sx</t>
  </si>
  <si>
    <t>att_1775610425283_94kkk7d7s</t>
  </si>
  <si>
    <t>I Will do:
1. Ryan, crappy life as history useless queen, Finishing scene ilustrasu sisa 33 part</t>
  </si>
  <si>
    <t>att_1775611519513_m2b22ovl3</t>
  </si>
  <si>
    <t>I Will do:
1. Angelo, Flower Boat Girl (in Qing Dynasty),</t>
  </si>
  <si>
    <t>att_1775612587468_0r4acz4vn</t>
  </si>
  <si>
    <t>I Will do:
1. Internal, Mlbb, Keluh Kisah MLBB 1
additional notes: lanjut buat scene</t>
  </si>
  <si>
    <t>att_1775612625595_lli587ass</t>
  </si>
  <si>
    <t>I Will do:
1. Kristin, AI,</t>
  </si>
  <si>
    <t>att_1775612684281_ul8q3pd6y</t>
  </si>
  <si>
    <t>att_1775613150847_d2n4nea90</t>
  </si>
  <si>
    <t>I Will do:
1. Julia, Why It Sucks to be a Woman in Frontier Captivity, Aset</t>
  </si>
  <si>
    <t>att_1775613603838_f5rvxeihi</t>
  </si>
  <si>
    <t>I Will do:
1. Christian, , Progress Ilustrasi</t>
  </si>
  <si>
    <t>att_1775615137751_ebopt76j5</t>
  </si>
  <si>
    <t>I Will do:
1. Angelo, Tribute girls,</t>
  </si>
  <si>
    <t>att_1775615210430_r1lrdbtue</t>
  </si>
  <si>
    <t>I Will do:
1. Angelo, Boat,</t>
  </si>
  <si>
    <t>att_1775692604037_b4xd30x3s</t>
  </si>
  <si>
    <t>I Will do:
1. Angelo, Flower Boat Girl (in Qing Dynasty), 
2. Internal, babi ngepet,</t>
  </si>
  <si>
    <t>att_1775697553390_deabw4gti</t>
  </si>
  <si>
    <t>att_1775699217518_dtzlf2yu9</t>
  </si>
  <si>
    <t>I Will do:
1. Internal, MLBB, keluh kisah mlbb #1
additional notes: melanjutkanmembuat scenen</t>
  </si>
  <si>
    <t>att_1775699724458_rfcb0a5eu</t>
  </si>
  <si>
    <t>att_1775700002802_3q6dnw9ua</t>
  </si>
  <si>
    <t>I Will do:
1. Ryan, Henry viii wives compilation plan, Sketching</t>
  </si>
  <si>
    <t>att_1775700143984_4e7xh0c2q</t>
  </si>
  <si>
    <t>I Will do:
1. Christian, A.I, Melanjutkan Ilustrasi</t>
  </si>
  <si>
    <t>att_1775700426365_zwkre1fed</t>
  </si>
  <si>
    <t>I Will do:
1. crhisten, AI,</t>
  </si>
  <si>
    <t>att_1775700687000_5p5xe98da</t>
  </si>
  <si>
    <t>att_1775702459556_q0xy8y324</t>
  </si>
  <si>
    <t>I Will do:
1. Alex, How Slavery Really Started, Sketching</t>
  </si>
  <si>
    <t>att_1775781844974_os1qrieqh</t>
  </si>
  <si>
    <t>att_1775784546448_zhw2gii0b</t>
  </si>
  <si>
    <t>I Will do:
1. Ryan, Compilation Video Master, Melanjutkan progres pembuatan ilustrasi</t>
  </si>
  <si>
    <t>att_1775784705041_a13if509l</t>
  </si>
  <si>
    <t>I Will do:
1. Internal, MLBB, Keluh Kisah MLBB #1
additional notes: Melanjutkan membuat scene</t>
  </si>
  <si>
    <t>att_1775784760988_vt8xrspa3</t>
  </si>
  <si>
    <t>att_1775785525196_tnlepfm3u</t>
  </si>
  <si>
    <t>att_1775786292250_8g1hxndmf</t>
  </si>
  <si>
    <t>I Will do:
1. Christian, ,</t>
  </si>
  <si>
    <t>att_1775786364450_fenrcclo9</t>
  </si>
  <si>
    <t>I Will do:
1. Alex, How Slavery Really Started,</t>
  </si>
  <si>
    <t>att_1775786429772_z15un0yds</t>
  </si>
  <si>
    <t>I Will do:
1. Julia, Woman in Comanche Captivity, Scene</t>
  </si>
  <si>
    <t>att_1775786997287_0tfyrly49</t>
  </si>
  <si>
    <t>att_1775787972623_wvb85ego2</t>
  </si>
  <si>
    <t>I Will do:
1. Jason, Servants in rich house, 
2. Internal, Tuyul,</t>
  </si>
  <si>
    <t>att_1775868137683_s0dn0nxc8</t>
  </si>
  <si>
    <t>I Will do:
1. Simon, Deino,</t>
  </si>
  <si>
    <t>att_1775870510746_6mee88uj4</t>
  </si>
  <si>
    <t>I Will do:
1. Internal, Mlbb, Keluh Kisah MLBB #1
additional notes: melanjutkan membuat scene</t>
  </si>
  <si>
    <t>att_1775871582725_1plvho08e</t>
  </si>
  <si>
    <t>I Will do:
1. Ryan, Compilation Video Master, Melanjutkan progress ilustrasi</t>
  </si>
  <si>
    <t>att_1775871874491_1tkwnerst</t>
  </si>
  <si>
    <t>I Will do:
1. Jason, Servants in rich housez, 
2. Internal, Tuyul,</t>
  </si>
  <si>
    <t>att_1775872030596_ku381wvty</t>
  </si>
  <si>
    <t>att_1775872190566_e96mb3x3s</t>
  </si>
  <si>
    <t>I Will do:
1. Ioana, Permian, STB + ASSETING
additional notes: Wendigo</t>
  </si>
  <si>
    <t>att_1775872804973_ukt2qde4y</t>
  </si>
  <si>
    <t>I Will do:
1. Simon, Deino, zweilous,</t>
  </si>
  <si>
    <t>att_1775872869684_1f29k63k0</t>
  </si>
  <si>
    <t>att_1775872938179_6eaue204e</t>
  </si>
  <si>
    <t>att_1775873996961_85vime2e0</t>
  </si>
  <si>
    <t>Nama</t>
  </si>
  <si>
    <t>Role</t>
  </si>
  <si>
    <t>Start</t>
  </si>
  <si>
    <t>End</t>
  </si>
  <si>
    <t>Duration</t>
  </si>
  <si>
    <t>Alasan</t>
  </si>
  <si>
    <t>Notes</t>
  </si>
  <si>
    <t>Approval</t>
  </si>
  <si>
    <t>Message</t>
  </si>
  <si>
    <t>CUTI-1775696646929</t>
  </si>
  <si>
    <t>video_editor</t>
  </si>
  <si>
    <t>Cuti Liburan/Pribadi</t>
  </si>
  <si>
    <t>Ingin ke kantor imigrasi, mengurus passport</t>
  </si>
  <si>
    <t>Pending</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</si>
</sst>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mmm d, yyyy"/>
    <numFmt numFmtId="166" formatCode="h:mm am/pm"/>
    <numFmt numFmtId="167" formatCode="d&quot; &quot;mmmm&quot; &quot;yyyy"/>
  </numFmts>
  <fonts count="27">
    <font>
      <sz val="10.0"/>
      <color rgb="FF000000"/>
      <name val="Arial"/>
      <scheme val="minor"/>
    </font>
    <font>
      <b/>
      <color theme="1"/>
      <name val="Arial"/>
      <scheme val="minor"/>
    </font>
    <font>
      <color theme="1"/>
      <name val="Arial"/>
    </font>
    <font>
      <u/>
      <color rgb="FF1155CC"/>
      <name val="Arial"/>
    </font>
    <font>
      <u/>
      <color rgb="FF1155CC"/>
      <name val="Arial"/>
    </font>
    <font>
      <color theme="1"/>
      <name val="Arial"/>
      <scheme val="minor"/>
    </font>
    <font>
      <u/>
      <color rgb="FF0000FF"/>
      <name val="Roboto"/>
    </font>
    <font>
      <u/>
      <color rgb="FF1155CC"/>
      <name val="Roboto"/>
    </font>
    <font>
      <u/>
      <color rgb="FF0000FF"/>
      <name val="Roboto"/>
    </font>
    <font>
      <u/>
      <color rgb="FF0000FF"/>
    </font>
    <font>
      <u/>
      <color rgb="FF0000FF"/>
    </font>
    <font>
      <u/>
      <color rgb="FF0000FF"/>
    </font>
    <font>
      <u/>
      <color rgb="FF0000FF"/>
    </font>
    <font>
      <u/>
      <color rgb="FF1155CC"/>
    </font>
    <font>
      <u/>
      <color rgb="FF0000FF"/>
    </font>
    <font>
      <u/>
      <color rgb="FF1155CC"/>
    </font>
    <font>
      <u/>
      <color rgb="FF0000FF"/>
    </font>
    <font>
      <u/>
      <color rgb="FF0000FF"/>
    </font>
    <font>
      <u/>
      <color rgb="FF1155CC"/>
    </font>
    <font>
      <u/>
      <color rgb="FF1155CC"/>
    </font>
    <font>
      <u/>
      <color rgb="FF0000FF"/>
    </font>
    <font>
      <u/>
      <color rgb="FF1155CC"/>
    </font>
    <font>
      <u/>
      <color rgb="FF0000FF"/>
    </font>
    <font>
      <u/>
      <color rgb="FF1155CC"/>
    </font>
    <font>
      <u/>
      <color rgb="FF1155CC"/>
    </font>
    <font>
      <u/>
      <color rgb="FF0000FF"/>
    </font>
    <font>
      <u/>
      <color rgb="FF1155CC"/>
    </font>
  </fonts>
  <fills count="14">
    <fill>
      <patternFill patternType="none"/>
    </fill>
    <fill>
      <patternFill patternType="lightGray"/>
    </fill>
    <fill>
      <patternFill patternType="solid">
        <fgColor rgb="FFF3F4F6"/>
        <bgColor rgb="FFF3F4F6"/>
      </patternFill>
    </fill>
    <fill>
      <patternFill patternType="solid">
        <fgColor rgb="FF00FF00"/>
        <bgColor rgb="FF00FF00"/>
      </patternFill>
    </fill>
    <fill>
      <patternFill patternType="solid">
        <fgColor theme="0"/>
        <bgColor theme="0"/>
      </patternFill>
    </fill>
    <fill>
      <patternFill patternType="solid">
        <fgColor theme="6"/>
        <bgColor theme="6"/>
      </patternFill>
    </fill>
    <fill>
      <patternFill patternType="solid">
        <fgColor rgb="FFCFE2F3"/>
        <bgColor rgb="FFCFE2F3"/>
      </patternFill>
    </fill>
    <fill>
      <patternFill patternType="solid">
        <fgColor rgb="FF6FA8DC"/>
        <bgColor rgb="FF6FA8DC"/>
      </patternFill>
    </fill>
    <fill>
      <patternFill patternType="solid">
        <fgColor rgb="FFF1C232"/>
        <bgColor rgb="FFF1C232"/>
      </patternFill>
    </fill>
    <fill>
      <patternFill patternType="solid">
        <fgColor theme="9"/>
        <bgColor theme="9"/>
      </patternFill>
    </fill>
    <fill>
      <patternFill patternType="solid">
        <fgColor rgb="FFFFD966"/>
        <bgColor rgb="FFFFD966"/>
      </patternFill>
    </fill>
    <fill>
      <patternFill patternType="solid">
        <fgColor theme="5"/>
        <bgColor theme="5"/>
      </patternFill>
    </fill>
    <fill>
      <patternFill patternType="solid">
        <fgColor rgb="FF6D9EEB"/>
        <bgColor rgb="FF6D9EEB"/>
      </patternFill>
    </fill>
    <fill>
      <patternFill patternType="solid">
        <fgColor rgb="FFEAD1DC"/>
        <bgColor rgb="FFEAD1DC"/>
      </patternFill>
    </fill>
  </fills>
  <borders count="1">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center" shrinkToFit="0" vertical="bottom" wrapText="0"/>
    </xf>
    <xf borderId="0" fillId="0" fontId="2" numFmtId="164" xfId="0" applyAlignment="1" applyFont="1" applyNumberFormat="1">
      <alignment horizontal="center" shrinkToFit="0" vertical="bottom" wrapText="0"/>
    </xf>
    <xf borderId="0" fillId="0" fontId="2" numFmtId="0" xfId="0" applyAlignment="1" applyFont="1">
      <alignment horizontal="lef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4" numFmtId="0" xfId="0" applyAlignment="1" applyFont="1">
      <alignment shrinkToFit="0" vertical="bottom" wrapText="0"/>
    </xf>
    <xf borderId="0" fillId="0" fontId="2" numFmtId="0" xfId="0" applyAlignment="1" applyFont="1">
      <alignment horizontal="center" shrinkToFit="0" vertical="bottom" wrapText="1"/>
    </xf>
    <xf borderId="0" fillId="0" fontId="2" numFmtId="0" xfId="0" applyAlignment="1" applyFont="1">
      <alignment horizontal="left" readingOrder="0" shrinkToFit="0" vertical="bottom" wrapText="0"/>
    </xf>
    <xf borderId="0" fillId="0" fontId="2" numFmtId="0" xfId="0" applyAlignment="1" applyFont="1">
      <alignment horizontal="center" readingOrder="0" shrinkToFit="0" vertical="bottom" wrapText="0"/>
    </xf>
    <xf borderId="0" fillId="0" fontId="2" numFmtId="164" xfId="0" applyAlignment="1" applyFont="1" applyNumberFormat="1">
      <alignment horizontal="center" readingOrder="0" shrinkToFit="0" vertical="bottom" wrapText="0"/>
    </xf>
    <xf borderId="0" fillId="0" fontId="5" numFmtId="164" xfId="0" applyAlignment="1" applyFont="1" applyNumberFormat="1">
      <alignment horizontal="center" readingOrder="0" shrinkToFit="0" vertical="center" wrapText="0"/>
    </xf>
    <xf borderId="0" fillId="0" fontId="5" numFmtId="0" xfId="0" applyAlignment="1" applyFont="1">
      <alignment horizontal="center" readingOrder="0" shrinkToFit="0" vertical="center" wrapText="0"/>
    </xf>
    <xf borderId="0" fillId="0" fontId="5" numFmtId="0" xfId="0" applyAlignment="1" applyFont="1">
      <alignment horizontal="left" readingOrder="0" shrinkToFit="0" vertical="center" wrapText="0"/>
    </xf>
    <xf borderId="0" fillId="0" fontId="6" numFmtId="0" xfId="0" applyAlignment="1" applyFont="1">
      <alignment readingOrder="0" shrinkToFit="0" vertical="center" wrapText="0"/>
    </xf>
    <xf borderId="0" fillId="0" fontId="5" numFmtId="0" xfId="0" applyAlignment="1" applyFont="1">
      <alignment horizontal="center" shrinkToFit="0" vertical="center" wrapText="0"/>
    </xf>
    <xf borderId="0" fillId="0" fontId="5" numFmtId="0" xfId="0" applyAlignment="1" applyFont="1">
      <alignment horizontal="center" readingOrder="0" shrinkToFit="0" vertical="center" wrapText="0"/>
    </xf>
    <xf borderId="0" fillId="0" fontId="5" numFmtId="0" xfId="0" applyAlignment="1" applyFont="1">
      <alignment horizontal="left" shrinkToFit="0" vertical="center" wrapText="0"/>
    </xf>
    <xf borderId="0" fillId="0" fontId="5" numFmtId="0" xfId="0" applyAlignment="1" applyFont="1">
      <alignment readingOrder="0" shrinkToFit="0" vertical="center" wrapText="0"/>
    </xf>
    <xf borderId="0" fillId="0" fontId="7" numFmtId="0" xfId="0" applyAlignment="1" applyFont="1">
      <alignment readingOrder="0" shrinkToFit="0" vertical="center" wrapText="0"/>
    </xf>
    <xf borderId="0" fillId="0" fontId="8" numFmtId="0" xfId="0" applyAlignment="1" applyFont="1">
      <alignment readingOrder="0" shrinkToFit="0" vertical="center" wrapText="0"/>
    </xf>
    <xf borderId="0" fillId="0" fontId="5" numFmtId="165" xfId="0" applyAlignment="1" applyFont="1" applyNumberFormat="1">
      <alignment readingOrder="0" shrinkToFit="0" vertical="center" wrapText="0"/>
    </xf>
    <xf borderId="0" fillId="0" fontId="5" numFmtId="166"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5" numFmtId="0" xfId="0" applyAlignment="1" applyFont="1">
      <alignment horizontal="right" readingOrder="0" shrinkToFit="0" vertical="center" wrapText="0"/>
    </xf>
    <xf borderId="0" fillId="2" fontId="1" numFmtId="0" xfId="0" applyAlignment="1" applyFill="1" applyFont="1">
      <alignment readingOrder="0"/>
    </xf>
    <xf borderId="0" fillId="0" fontId="5" numFmtId="0" xfId="0" applyAlignment="1" applyFont="1">
      <alignment readingOrder="0"/>
    </xf>
    <xf borderId="0" fillId="3" fontId="5" numFmtId="164" xfId="0" applyAlignment="1" applyFill="1" applyFont="1" applyNumberFormat="1">
      <alignment readingOrder="0"/>
    </xf>
    <xf borderId="0" fillId="3" fontId="5" numFmtId="0" xfId="0" applyAlignment="1" applyFont="1">
      <alignment readingOrder="0"/>
    </xf>
    <xf borderId="0" fillId="3" fontId="5" numFmtId="0" xfId="0" applyFont="1"/>
    <xf borderId="0" fillId="0" fontId="5" numFmtId="164" xfId="0" applyAlignment="1" applyFont="1" applyNumberFormat="1">
      <alignment readingOrder="0"/>
    </xf>
    <xf borderId="0" fillId="0" fontId="5"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4" fontId="5" numFmtId="0" xfId="0" applyAlignment="1" applyFill="1" applyFont="1">
      <alignment readingOrder="0"/>
    </xf>
    <xf borderId="0" fillId="4" fontId="5" numFmtId="164" xfId="0" applyAlignment="1" applyFont="1" applyNumberFormat="1">
      <alignment readingOrder="0"/>
    </xf>
    <xf borderId="0" fillId="4" fontId="5" numFmtId="0" xfId="0" applyAlignment="1" applyFont="1">
      <alignment readingOrder="0"/>
    </xf>
    <xf borderId="0" fillId="4" fontId="5" numFmtId="0" xfId="0" applyFont="1"/>
    <xf borderId="0" fillId="4" fontId="11" numFmtId="0" xfId="0" applyAlignment="1" applyFont="1">
      <alignment readingOrder="0"/>
    </xf>
    <xf borderId="0" fillId="5" fontId="5" numFmtId="0" xfId="0" applyAlignment="1" applyFill="1" applyFont="1">
      <alignment readingOrder="0"/>
    </xf>
    <xf borderId="0" fillId="5" fontId="5" numFmtId="164" xfId="0" applyAlignment="1" applyFont="1" applyNumberFormat="1">
      <alignment readingOrder="0"/>
    </xf>
    <xf borderId="0" fillId="5" fontId="5" numFmtId="0" xfId="0" applyAlignment="1" applyFont="1">
      <alignment readingOrder="0"/>
    </xf>
    <xf borderId="0" fillId="5" fontId="5" numFmtId="0" xfId="0" applyFont="1"/>
    <xf borderId="0" fillId="5" fontId="12" numFmtId="0" xfId="0" applyAlignment="1" applyFont="1">
      <alignment readingOrder="0"/>
    </xf>
    <xf borderId="0" fillId="6" fontId="5" numFmtId="0" xfId="0" applyAlignment="1" applyFill="1" applyFont="1">
      <alignment readingOrder="0"/>
    </xf>
    <xf borderId="0" fillId="6" fontId="5" numFmtId="164" xfId="0" applyAlignment="1" applyFont="1" applyNumberFormat="1">
      <alignment readingOrder="0"/>
    </xf>
    <xf borderId="0" fillId="6" fontId="5" numFmtId="0" xfId="0" applyAlignment="1" applyFont="1">
      <alignment readingOrder="0"/>
    </xf>
    <xf borderId="0" fillId="6" fontId="5" numFmtId="0" xfId="0" applyFont="1"/>
    <xf borderId="0" fillId="6" fontId="13" numFmtId="0" xfId="0" applyAlignment="1" applyFont="1">
      <alignment readingOrder="0"/>
    </xf>
    <xf borderId="0" fillId="6" fontId="14" numFmtId="0" xfId="0" applyAlignment="1" applyFont="1">
      <alignment readingOrder="0"/>
    </xf>
    <xf borderId="0" fillId="7" fontId="5" numFmtId="0" xfId="0" applyAlignment="1" applyFill="1" applyFont="1">
      <alignment readingOrder="0"/>
    </xf>
    <xf borderId="0" fillId="7" fontId="5" numFmtId="164" xfId="0" applyAlignment="1" applyFont="1" applyNumberFormat="1">
      <alignment readingOrder="0"/>
    </xf>
    <xf borderId="0" fillId="7" fontId="5" numFmtId="0" xfId="0" applyAlignment="1" applyFont="1">
      <alignment readingOrder="0"/>
    </xf>
    <xf borderId="0" fillId="7" fontId="15" numFmtId="0" xfId="0" applyAlignment="1" applyFont="1">
      <alignment readingOrder="0"/>
    </xf>
    <xf borderId="0" fillId="7" fontId="5" numFmtId="0" xfId="0" applyFont="1"/>
    <xf borderId="0" fillId="7" fontId="16" numFmtId="0" xfId="0" applyAlignment="1" applyFont="1">
      <alignment readingOrder="0"/>
    </xf>
    <xf borderId="0" fillId="8" fontId="5" numFmtId="0" xfId="0" applyAlignment="1" applyFill="1" applyFont="1">
      <alignment readingOrder="0"/>
    </xf>
    <xf borderId="0" fillId="8" fontId="5" numFmtId="164" xfId="0" applyAlignment="1" applyFont="1" applyNumberFormat="1">
      <alignment readingOrder="0"/>
    </xf>
    <xf borderId="0" fillId="8" fontId="5" numFmtId="0" xfId="0" applyAlignment="1" applyFont="1">
      <alignment readingOrder="0"/>
    </xf>
    <xf borderId="0" fillId="8" fontId="17" numFmtId="0" xfId="0" applyAlignment="1" applyFont="1">
      <alignment readingOrder="0"/>
    </xf>
    <xf borderId="0" fillId="8" fontId="5" numFmtId="0" xfId="0" applyFont="1"/>
    <xf borderId="0" fillId="8" fontId="18" numFmtId="0" xfId="0" applyAlignment="1" applyFont="1">
      <alignment readingOrder="0"/>
    </xf>
    <xf borderId="0" fillId="9" fontId="5" numFmtId="0" xfId="0" applyAlignment="1" applyFill="1" applyFont="1">
      <alignment readingOrder="0"/>
    </xf>
    <xf borderId="0" fillId="9" fontId="5" numFmtId="164" xfId="0" applyAlignment="1" applyFont="1" applyNumberFormat="1">
      <alignment readingOrder="0"/>
    </xf>
    <xf borderId="0" fillId="9" fontId="5" numFmtId="0" xfId="0" applyAlignment="1" applyFont="1">
      <alignment readingOrder="0"/>
    </xf>
    <xf borderId="0" fillId="9" fontId="19" numFmtId="0" xfId="0" applyAlignment="1" applyFont="1">
      <alignment readingOrder="0"/>
    </xf>
    <xf borderId="0" fillId="9" fontId="5" numFmtId="0" xfId="0" applyFont="1"/>
    <xf borderId="0" fillId="9" fontId="20" numFmtId="0" xfId="0" applyAlignment="1" applyFont="1">
      <alignment readingOrder="0"/>
    </xf>
    <xf borderId="0" fillId="10" fontId="5" numFmtId="0" xfId="0" applyAlignment="1" applyFill="1" applyFont="1">
      <alignment readingOrder="0"/>
    </xf>
    <xf borderId="0" fillId="10" fontId="5" numFmtId="164" xfId="0" applyAlignment="1" applyFont="1" applyNumberFormat="1">
      <alignment readingOrder="0"/>
    </xf>
    <xf borderId="0" fillId="10" fontId="5" numFmtId="0" xfId="0" applyAlignment="1" applyFont="1">
      <alignment readingOrder="0"/>
    </xf>
    <xf borderId="0" fillId="10" fontId="21" numFmtId="0" xfId="0" applyAlignment="1" applyFont="1">
      <alignment readingOrder="0"/>
    </xf>
    <xf borderId="0" fillId="10" fontId="22" numFmtId="0" xfId="0" applyAlignment="1" applyFont="1">
      <alignment readingOrder="0"/>
    </xf>
    <xf borderId="0" fillId="10" fontId="5" numFmtId="0" xfId="0" applyFont="1"/>
    <xf borderId="0" fillId="11" fontId="5" numFmtId="0" xfId="0" applyAlignment="1" applyFill="1" applyFont="1">
      <alignment readingOrder="0"/>
    </xf>
    <xf borderId="0" fillId="11" fontId="5" numFmtId="164" xfId="0" applyAlignment="1" applyFont="1" applyNumberFormat="1">
      <alignment readingOrder="0"/>
    </xf>
    <xf borderId="0" fillId="11" fontId="5" numFmtId="0" xfId="0" applyAlignment="1" applyFont="1">
      <alignment readingOrder="0"/>
    </xf>
    <xf borderId="0" fillId="11" fontId="5" numFmtId="0" xfId="0" applyFont="1"/>
    <xf borderId="0" fillId="11" fontId="23" numFmtId="0" xfId="0" applyAlignment="1" applyFont="1">
      <alignment readingOrder="0"/>
    </xf>
    <xf borderId="0" fillId="5" fontId="24" numFmtId="0" xfId="0" applyAlignment="1" applyFont="1">
      <alignment readingOrder="0"/>
    </xf>
    <xf borderId="0" fillId="5" fontId="25" numFmtId="0" xfId="0" applyAlignment="1" applyFont="1">
      <alignment readingOrder="0"/>
    </xf>
    <xf borderId="0" fillId="0" fontId="26" numFmtId="0" xfId="0" applyAlignment="1" applyFont="1">
      <alignment readingOrder="0"/>
    </xf>
    <xf borderId="0" fillId="0" fontId="5" numFmtId="165" xfId="0" applyAlignment="1" applyFont="1" applyNumberFormat="1">
      <alignment readingOrder="0"/>
    </xf>
    <xf borderId="0" fillId="0" fontId="5" numFmtId="166" xfId="0" applyAlignment="1" applyFont="1" applyNumberFormat="1">
      <alignment readingOrder="0"/>
    </xf>
    <xf borderId="0" fillId="5" fontId="5" numFmtId="165" xfId="0" applyAlignment="1" applyFont="1" applyNumberFormat="1">
      <alignment readingOrder="0"/>
    </xf>
    <xf borderId="0" fillId="5" fontId="5" numFmtId="166" xfId="0" applyAlignment="1" applyFont="1" applyNumberFormat="1">
      <alignment readingOrder="0"/>
    </xf>
    <xf borderId="0" fillId="6" fontId="5" numFmtId="165" xfId="0" applyAlignment="1" applyFont="1" applyNumberFormat="1">
      <alignment readingOrder="0"/>
    </xf>
    <xf borderId="0" fillId="6" fontId="5" numFmtId="166" xfId="0" applyAlignment="1" applyFont="1" applyNumberFormat="1">
      <alignment readingOrder="0"/>
    </xf>
    <xf borderId="0" fillId="11" fontId="5" numFmtId="165" xfId="0" applyAlignment="1" applyFont="1" applyNumberFormat="1">
      <alignment readingOrder="0"/>
    </xf>
    <xf borderId="0" fillId="11" fontId="5" numFmtId="166" xfId="0" applyAlignment="1" applyFont="1" applyNumberFormat="1">
      <alignment readingOrder="0"/>
    </xf>
    <xf borderId="0" fillId="12" fontId="5" numFmtId="0" xfId="0" applyAlignment="1" applyFill="1" applyFont="1">
      <alignment readingOrder="0"/>
    </xf>
    <xf borderId="0" fillId="12" fontId="5" numFmtId="165" xfId="0" applyAlignment="1" applyFont="1" applyNumberFormat="1">
      <alignment readingOrder="0"/>
    </xf>
    <xf borderId="0" fillId="12" fontId="5" numFmtId="166" xfId="0" applyAlignment="1" applyFont="1" applyNumberFormat="1">
      <alignment readingOrder="0"/>
    </xf>
    <xf borderId="0" fillId="12" fontId="5" numFmtId="0" xfId="0" applyAlignment="1" applyFont="1">
      <alignment readingOrder="0"/>
    </xf>
    <xf borderId="0" fillId="12" fontId="5" numFmtId="0" xfId="0" applyFont="1"/>
    <xf borderId="0" fillId="8" fontId="5" numFmtId="165" xfId="0" applyAlignment="1" applyFont="1" applyNumberFormat="1">
      <alignment readingOrder="0"/>
    </xf>
    <xf borderId="0" fillId="8" fontId="5" numFmtId="166" xfId="0" applyAlignment="1" applyFont="1" applyNumberFormat="1">
      <alignment readingOrder="0"/>
    </xf>
    <xf borderId="0" fillId="9" fontId="5" numFmtId="165" xfId="0" applyAlignment="1" applyFont="1" applyNumberFormat="1">
      <alignment readingOrder="0"/>
    </xf>
    <xf borderId="0" fillId="9" fontId="5" numFmtId="166" xfId="0" applyAlignment="1" applyFont="1" applyNumberFormat="1">
      <alignment readingOrder="0"/>
    </xf>
    <xf borderId="0" fillId="13" fontId="5" numFmtId="0" xfId="0" applyAlignment="1" applyFill="1" applyFont="1">
      <alignment readingOrder="0"/>
    </xf>
    <xf borderId="0" fillId="13" fontId="5" numFmtId="165" xfId="0" applyAlignment="1" applyFont="1" applyNumberFormat="1">
      <alignment readingOrder="0"/>
    </xf>
    <xf borderId="0" fillId="13" fontId="5" numFmtId="166" xfId="0" applyAlignment="1" applyFont="1" applyNumberFormat="1">
      <alignment readingOrder="0"/>
    </xf>
    <xf borderId="0" fillId="13" fontId="5" numFmtId="0" xfId="0" applyAlignment="1" applyFont="1">
      <alignment readingOrder="0"/>
    </xf>
    <xf borderId="0" fillId="0" fontId="5" numFmtId="0" xfId="0" applyFont="1"/>
    <xf borderId="0" fillId="0" fontId="5" numFmtId="167" xfId="0" applyFont="1" applyNumberFormat="1"/>
    <xf borderId="0" fillId="0" fontId="5" numFmtId="167" xfId="0" applyFont="1" applyNumberFormat="1"/>
    <xf borderId="0" fillId="0" fontId="1" numFmtId="0" xfId="0" applyAlignment="1" applyFont="1">
      <alignment horizontal="center" readingOrder="0" shrinkToFit="0" vertical="center" wrapText="0"/>
    </xf>
    <xf borderId="0" fillId="0" fontId="5" numFmtId="164"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5" numFmtId="0" xfId="0" applyAlignment="1" applyFont="1">
      <alignment shrinkToFit="0" vertical="center" wrapText="0"/>
    </xf>
    <xf borderId="0" fillId="0" fontId="5" numFmtId="0" xfId="0" applyAlignment="1" applyFont="1">
      <alignment shrinkToFit="0" vertical="center" wrapText="0"/>
    </xf>
    <xf borderId="0" fillId="0" fontId="5" numFmtId="0" xfId="0" applyAlignment="1" applyFont="1">
      <alignment horizontal="center"/>
    </xf>
  </cellXfs>
  <cellStyles count="1">
    <cellStyle xfId="0" name="Normal" builtinId="0"/>
  </cellStyles>
  <dxfs count="6">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fill>
        <patternFill patternType="solid">
          <fgColor rgb="FF356854"/>
          <bgColor rgb="FF356854"/>
        </patternFill>
      </fill>
      <border/>
    </dxf>
  </dxfs>
  <tableStyles count="3">
    <tableStyle count="4" pivot="0" name="Progress_VideoEditor-style">
      <tableStyleElement dxfId="1" type="headerRow"/>
      <tableStyleElement dxfId="2" type="firstRowStripe"/>
      <tableStyleElement dxfId="3" type="secondRowStripe"/>
      <tableStyleElement dxfId="4" size="0" type="wholeTable"/>
    </tableStyle>
    <tableStyle count="4" pivot="0" name="Attendance_VideoEditor-style">
      <tableStyleElement dxfId="1" type="headerRow"/>
      <tableStyleElement dxfId="2" type="firstRowStripe"/>
      <tableStyleElement dxfId="3" type="secondRowStripe"/>
      <tableStyleElement dxfId="4" size="0" type="wholeTable"/>
    </tableStyle>
    <tableStyle count="4" pivot="0" name="Cuti-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e3eb7d95-228b-4c6b-b729-c13b4992ce43}">
    <Anchor>
      <Comment id="{1c2edd24-fbe2-4bce-8bca-397768fcd88b}"/>
    </Anchor>
    <History>
      <Event time="2026-04-08T01:39:33.00" id="{a2a503a2-8917-432e-9120-9ca558574aa0}">
        <Attribution userId="placeholder@email.com" userName="Achmad Zaini" userProvider="google-sheets"/>
        <Anchor>
          <Comment id="{1c2edd24-fbe2-4bce-8bca-397768fcd88b}"/>
        </Anchor>
        <Create/>
      </Event>
      <Event time="2026-04-08T01:39:33.00" id="{5ddef5ed-2d35-447b-99f0-fd23aff6e069}">
        <Attribution userId="placeholder@email.com" userName="Achmad Zaini" userProvider="google-sheets"/>
        <Anchor>
          <Comment id="{1c2edd24-fbe2-4bce-8bca-397768fcd88b}"/>
        </Anchor>
        <Assign userId="ravandafargani@gmail.com" userName="ravandafargani@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avandafargani@gmail.com" id="{607fd84e-521c-4e2d-a03d-f78a40e79165}" userId="ravandafargani@gmail.com" providerId="google-sheets"/>
  <x18tc:person displayName="Achmad Zaini" id="{9536a696-0b72-42af-a6de-4a6a98edfc24}" providerId="google-sheets"/>
</x18tc:personList>
</file>

<file path=xl/tables/table1.xml><?xml version="1.0" encoding="utf-8"?>
<table xmlns="http://schemas.openxmlformats.org/spreadsheetml/2006/main" ref="A1:H996" displayName="Progress_Editor" name="Progress_Editor" id="1">
  <tableColumns count="8">
    <tableColumn name="No" id="1"/>
    <tableColumn name="Tanggal" id="2"/>
    <tableColumn name="Editor" id="3"/>
    <tableColumn name="Judul" id="4"/>
    <tableColumn name="Klien" id="5"/>
    <tableColumn name="Jumlah_Scene" id="6"/>
    <tableColumn name="Comment" id="7"/>
    <tableColumn name="Screenshoot" id="8"/>
  </tableColumns>
  <tableStyleInfo name="Progress_VideoEditor-style" showColumnStripes="0" showFirstColumn="1" showLastColumn="1" showRowStripes="1"/>
</table>
</file>

<file path=xl/tables/table2.xml><?xml version="1.0" encoding="utf-8"?>
<table xmlns="http://schemas.openxmlformats.org/spreadsheetml/2006/main" ref="A1:I980" displayName="Attendance_Editor" name="Attendance_Editor" id="2">
  <tableColumns count="9">
    <tableColumn name="ID" id="1"/>
    <tableColumn name="Date" id="2"/>
    <tableColumn name="Name" id="3"/>
    <tableColumn name="Clock In Time" id="4"/>
    <tableColumn name="Clock Out Time" id="5"/>
    <tableColumn name="Jumlah_Scene" id="6"/>
    <tableColumn name="Duration (Hours)" id="7"/>
    <tableColumn name="Status" id="8"/>
    <tableColumn name="To-Do" id="9"/>
  </tableColumns>
  <tableStyleInfo name="Attendance_VideoEditor-style" showColumnStripes="0" showFirstColumn="1" showLastColumn="1" showRowStripes="1"/>
</table>
</file>

<file path=xl/tables/table3.xml><?xml version="1.0" encoding="utf-8"?>
<table xmlns="http://schemas.openxmlformats.org/spreadsheetml/2006/main" ref="A1:L116" displayName="Pengajuan_Cuti" name="Pengajuan_Cuti" id="3">
  <tableColumns count="12">
    <tableColumn name="ID" id="1"/>
    <tableColumn name="No" id="2"/>
    <tableColumn name="Tanggal" id="3"/>
    <tableColumn name="Nama" id="4"/>
    <tableColumn name="Role" id="5"/>
    <tableColumn name="Start" id="6"/>
    <tableColumn name="End" id="7"/>
    <tableColumn name="Duration" id="8"/>
    <tableColumn name="Alasan" id="9"/>
    <tableColumn name="Notes" id="10"/>
    <tableColumn name="Approval" id="11"/>
    <tableColumn name="Message" id="12"/>
  </tableColumns>
  <tableStyleInfo name="Cut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23" dT="2026-04-08T01:39:53.00" personId="{9536a696-0b72-42af-a6de-4a6a98edfc24}" id="{d6e370dd-e82a-4e95-8066-aa902fd13d1a}" done="0">
    <x18tc:text xml:space="preserve">@ravandafargani@gmail.com</x18tc:text>
    <x18tc:mentions>
      <x18tc:mention mentionpersonId="{607fd84e-521c-4e2d-a03d-f78a40e79165}" mentionId="{339a7a51-3084-4ff2-92bc-1983a1881c7b}" startIndex="0" length="25"/>
    </x18tc:mentions>
  </x18tc:threadedComment>
  <x18tc:threadedComment ref="G125" dT="2026-04-08T01:39:33.00" personId="{9536a696-0b72-42af-a6de-4a6a98edfc24}" id="{1c2edd24-fbe2-4bce-8bca-397768fcd88b}" done="0">
    <x18tc:text xml:space="preserve">@ravandafargani@gmail.com
Assigned to ravandafargani@gmail.com</x18tc:text>
    <x18tc:mentions>
      <x18tc:mention mentionpersonId="{607fd84e-521c-4e2d-a03d-f78a40e79165}" mentionId="{67099959-ec44-4a9d-abfe-2b2b13c472b9}" startIndex="0" length="25"/>
    </x18tc:mentions>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270iop-GzxQxYmoykCfB7p-45GNhYIVK/view?usp=drivesdk" TargetMode="External"/><Relationship Id="rId42" Type="http://schemas.openxmlformats.org/officeDocument/2006/relationships/hyperlink" Target="https://drive.google.com/file/d/16yPuJw-eV-qHK_ft38YDKhEz5gLcaow4/view?usp=drivesdk" TargetMode="External"/><Relationship Id="rId41" Type="http://schemas.openxmlformats.org/officeDocument/2006/relationships/hyperlink" Target="https://drive.google.com/file/d/1anekctKcrKWeOHbA0XZUxODpq7jZhPMM/view?usp=drivesdk" TargetMode="External"/><Relationship Id="rId44" Type="http://schemas.openxmlformats.org/officeDocument/2006/relationships/hyperlink" Target="https://drive.google.com/file/d/1YMM-K0a5GOfqiv4x3XPKM7weeP_Y21VH/view?usp=drivesdk" TargetMode="External"/><Relationship Id="rId43" Type="http://schemas.openxmlformats.org/officeDocument/2006/relationships/hyperlink" Target="https://drive.google.com/file/d/1yXeUnaqfyJgmK10id8PAkhbBpiXRwmAb/view?usp=drivesdk" TargetMode="External"/><Relationship Id="rId46" Type="http://schemas.openxmlformats.org/officeDocument/2006/relationships/hyperlink" Target="https://drive.google.com/file/d/1gmAyvSqUHqj6T-qXy-5PxRsq3iRFHxr1/view?usp=drivesdk" TargetMode="External"/><Relationship Id="rId45" Type="http://schemas.openxmlformats.org/officeDocument/2006/relationships/hyperlink" Target="https://drive.google.com/file/d/1VLNucuq7bFz7CNAwNzu7qoVOpHW0dbA0/view?usp=drivesdk" TargetMode="External"/><Relationship Id="rId107" Type="http://schemas.openxmlformats.org/officeDocument/2006/relationships/hyperlink" Target="https://drive.google.com/file/d/1fOWljCTPSMpS5jYQIMgDSvHv8FqjUUiK/view?usp=drivesdk" TargetMode="External"/><Relationship Id="rId106" Type="http://schemas.openxmlformats.org/officeDocument/2006/relationships/hyperlink" Target="https://drive.google.com/open?id=13Mpx0lC8Q94K6XynOOQ5gMFIrHsV6u0x&amp;usp=drive_fs" TargetMode="External"/><Relationship Id="rId105" Type="http://schemas.openxmlformats.org/officeDocument/2006/relationships/hyperlink" Target="https://drive.google.com/open?id=13Mpx0lC8Q94K6XynOOQ5gMFIrHsV6u0x&amp;usp=drive_fs" TargetMode="External"/><Relationship Id="rId104" Type="http://schemas.openxmlformats.org/officeDocument/2006/relationships/hyperlink" Target="https://drive.google.com/file/d/1S7wN2Q94PiBa5k2OtfQWqVsFOwxSOd7s/view?usp=drivesdk" TargetMode="External"/><Relationship Id="rId109" Type="http://schemas.openxmlformats.org/officeDocument/2006/relationships/hyperlink" Target="https://drive.google.com/file/d/17dbIiQCzqC8l9UyT6FI1GgsYTeD78icp/view?usp=drivesdk" TargetMode="External"/><Relationship Id="rId108" Type="http://schemas.openxmlformats.org/officeDocument/2006/relationships/hyperlink" Target="https://drive.google.com/file/d/1fOWljCTPSMpS5jYQIMgDSvHv8FqjUUiK/view?usp=drivesdk" TargetMode="External"/><Relationship Id="rId48" Type="http://schemas.openxmlformats.org/officeDocument/2006/relationships/hyperlink" Target="https://drive.google.com/file/d/1O9AeVxoPlijEXQtzRuR76IwxmtuW6NK7/view?usp=drivesdk" TargetMode="External"/><Relationship Id="rId47" Type="http://schemas.openxmlformats.org/officeDocument/2006/relationships/hyperlink" Target="https://drive.google.com/file/d/1LaEAjVIyrsXmpBIfXwYfXvVPEBNUOIZU/view?usp=drivesdk" TargetMode="External"/><Relationship Id="rId49" Type="http://schemas.openxmlformats.org/officeDocument/2006/relationships/hyperlink" Target="https://drive.google.com/file/d/1-XBWhp0bTvSBma_670KDVM4lbIghn8Yx/view?usp=drivesdk" TargetMode="External"/><Relationship Id="rId103" Type="http://schemas.openxmlformats.org/officeDocument/2006/relationships/hyperlink" Target="https://drive.google.com/file/d/1S7wN2Q94PiBa5k2OtfQWqVsFOwxSOd7s/view?usp=drivesdk" TargetMode="External"/><Relationship Id="rId102" Type="http://schemas.openxmlformats.org/officeDocument/2006/relationships/hyperlink" Target="https://drive.google.com/file/d/1o2hXoPDxwJK0tdjy7oUqgdP0iAshdav0/view?usp=drivesdk" TargetMode="External"/><Relationship Id="rId101" Type="http://schemas.openxmlformats.org/officeDocument/2006/relationships/hyperlink" Target="https://drive.google.com/file/d/1hBGdeft4DMg-cc5v2rAW0bZU_55u4Qp9/view?usp=drivesdk" TargetMode="External"/><Relationship Id="rId100" Type="http://schemas.openxmlformats.org/officeDocument/2006/relationships/hyperlink" Target="https://drive.google.com/file/d/1iTzeO9vyGsEf_ZPpl8uR4Ncb1NPvbewX/view?usp=drivesdk" TargetMode="External"/><Relationship Id="rId31" Type="http://schemas.openxmlformats.org/officeDocument/2006/relationships/hyperlink" Target="https://drive.google.com/file/d/1G0mEqJU-Dj-AY_Qpt574mUeUAD1A3izn/view?usp=drivesdk" TargetMode="External"/><Relationship Id="rId30" Type="http://schemas.openxmlformats.org/officeDocument/2006/relationships/hyperlink" Target="https://drive.google.com/file/d/1R8I3Y0hqm3CpymZacdsvoN22vCMUdvCJ/view?usp=drivesdk" TargetMode="External"/><Relationship Id="rId33" Type="http://schemas.openxmlformats.org/officeDocument/2006/relationships/hyperlink" Target="https://drive.google.com/file/d/117_dbjIBCkDJ69UL-4nD19PvDnBtLsMz/view?usp=drivesdk" TargetMode="External"/><Relationship Id="rId32" Type="http://schemas.openxmlformats.org/officeDocument/2006/relationships/hyperlink" Target="https://drive.google.com/file/d/11J2wV3WuY6bSIki4VvK-AUsm_fRsASOe/view?usp=drivesdk" TargetMode="External"/><Relationship Id="rId35" Type="http://schemas.openxmlformats.org/officeDocument/2006/relationships/hyperlink" Target="https://drive.google.com/file/d/1nfnyMOZGWnPPTrTfoax2DJxenepgRf-B/view?usp=drivesdk" TargetMode="External"/><Relationship Id="rId34" Type="http://schemas.openxmlformats.org/officeDocument/2006/relationships/hyperlink" Target="https://drive.google.com/file/d/1QBzSCfDyWqQK0SEW2OPnuhVOveyUMFlO/view?usp=drivesdk" TargetMode="External"/><Relationship Id="rId37" Type="http://schemas.openxmlformats.org/officeDocument/2006/relationships/hyperlink" Target="https://drive.google.com/file/d/1boTVX6OxNAPjxMy0gcb-E-irsgmI9xFz/view?usp=drivesdk" TargetMode="External"/><Relationship Id="rId36" Type="http://schemas.openxmlformats.org/officeDocument/2006/relationships/hyperlink" Target="https://drive.google.com/file/d/1UpfTgURp7KQBycM66rFjpv_grhXPg5g5/view?usp=drivesdk" TargetMode="External"/><Relationship Id="rId39" Type="http://schemas.openxmlformats.org/officeDocument/2006/relationships/hyperlink" Target="https://drive.google.com/file/d/1P7P9sr-FaFfWZ71RDizekmEyUvYNH__Z/view?usp=drivesdk" TargetMode="External"/><Relationship Id="rId38" Type="http://schemas.openxmlformats.org/officeDocument/2006/relationships/hyperlink" Target="https://drive.google.com/file/d/1ZWOuAOxM7rn6vTuqEwsTUP8iheHpMsQ8/view?usp=drivesdk" TargetMode="External"/><Relationship Id="rId20" Type="http://schemas.openxmlformats.org/officeDocument/2006/relationships/hyperlink" Target="https://drive.google.com/file/d/1FAP2vZKZ40dxnEZ7vbO7ZWDHXSKL5lyo/view?usp=drivesdk" TargetMode="External"/><Relationship Id="rId22" Type="http://schemas.openxmlformats.org/officeDocument/2006/relationships/hyperlink" Target="https://drive.google.com/file/d/17c-mbsRfTIS2VZ20xglsg4lochDPnaUZ/view?usp=drivesdk" TargetMode="External"/><Relationship Id="rId21" Type="http://schemas.openxmlformats.org/officeDocument/2006/relationships/hyperlink" Target="https://drive.google.com/file/d/1jnJxSUd065f-WPbQC4SOqEjnhk6rBf8V/view?usp=drivesdk" TargetMode="External"/><Relationship Id="rId24" Type="http://schemas.openxmlformats.org/officeDocument/2006/relationships/hyperlink" Target="https://drive.google.com/file/d/113taAlFVu6kS4xvvd_Chj6YWxEDBdhi9/view?usp=drivesdk" TargetMode="External"/><Relationship Id="rId23" Type="http://schemas.openxmlformats.org/officeDocument/2006/relationships/hyperlink" Target="https://drive.google.com/file/d/1t5ry-KsQXa71f_6dmqeWeotRJEM3voGk/view?usp=drivesdk" TargetMode="External"/><Relationship Id="rId129" Type="http://schemas.openxmlformats.org/officeDocument/2006/relationships/hyperlink" Target="https://drive.google.com/file/d/1LBI1zIUjc8-NN9ekmJga0ft6pR55VKPX/view?usp=drivesdk" TargetMode="External"/><Relationship Id="rId128" Type="http://schemas.openxmlformats.org/officeDocument/2006/relationships/hyperlink" Target="https://drive.google.com/file/d/18wHPCkI78wMDdASRW3Duzew5BbhVlLEr/view?usp=drivesdk" TargetMode="External"/><Relationship Id="rId127" Type="http://schemas.openxmlformats.org/officeDocument/2006/relationships/hyperlink" Target="https://drive.google.com/file/d/1a-xqIhDxFkMJqaYxWclo_5mB7Bvz_5Qk/view?usp=drivesdk" TargetMode="External"/><Relationship Id="rId126" Type="http://schemas.openxmlformats.org/officeDocument/2006/relationships/hyperlink" Target="https://drive.google.com/file/d/1mFsKDmo3JUBGp9qVI5HDdIst0xHVp4pn/view?usp=drivesdk" TargetMode="External"/><Relationship Id="rId26" Type="http://schemas.openxmlformats.org/officeDocument/2006/relationships/hyperlink" Target="https://drive.google.com/file/d/1Af5L3WUzfHvu4Ase6rKBL4QUHYaNaWT9/view?usp=drivesdk" TargetMode="External"/><Relationship Id="rId121" Type="http://schemas.openxmlformats.org/officeDocument/2006/relationships/hyperlink" Target="https://drive.google.com/file/d/1cSCl2BkrWbsm0mzAIpmoDHFLmKPGstAL/view?usp=drivesdk" TargetMode="External"/><Relationship Id="rId25" Type="http://schemas.openxmlformats.org/officeDocument/2006/relationships/hyperlink" Target="https://drive.google.com/file/d/1ZKgi7xxiz8I09jTFEmhyBoMESN-5h2wq/view?usp=drivesdk" TargetMode="External"/><Relationship Id="rId120" Type="http://schemas.openxmlformats.org/officeDocument/2006/relationships/hyperlink" Target="https://drive.google.com/file/d/1-BxqL82kCKB3SSZW8Vap51VulMUEF2MZ/view?usp=drivesdk" TargetMode="External"/><Relationship Id="rId28" Type="http://schemas.openxmlformats.org/officeDocument/2006/relationships/hyperlink" Target="https://drive.google.com/file/d/1Ii5OWhtRa-2OHoSDK6kTx35TZVmGV8Ab/view?usp=drivesdk" TargetMode="External"/><Relationship Id="rId27" Type="http://schemas.openxmlformats.org/officeDocument/2006/relationships/hyperlink" Target="https://drive.google.com/file/d/1kGsZESdUeEw6f_1nqpeOtNGv1CCcti9q/view?usp=drivesdk" TargetMode="External"/><Relationship Id="rId125" Type="http://schemas.openxmlformats.org/officeDocument/2006/relationships/hyperlink" Target="https://drive.google.com/file/d/1iCHHPLQG7Rg8MXYHA-8YdsGiNQ85wNgT/view?usp=drivesdk" TargetMode="External"/><Relationship Id="rId29" Type="http://schemas.openxmlformats.org/officeDocument/2006/relationships/hyperlink" Target="https://drive.google.com/file/d/15K59VBea9oiQjYcn9aUqLoWeDnoBrBa7/view?usp=drivesdk" TargetMode="External"/><Relationship Id="rId124" Type="http://schemas.openxmlformats.org/officeDocument/2006/relationships/hyperlink" Target="https://drive.google.com/file/d/1GgedSS8RMpv-Y14d7kqZTXqLryNcXGOG/view?usp=drivesdk" TargetMode="External"/><Relationship Id="rId123" Type="http://schemas.openxmlformats.org/officeDocument/2006/relationships/hyperlink" Target="https://drive.google.com/file/d/1FwTU_KWW1ncekCkxfCEXxt9xI4-VwzC9/view?usp=drivesdk" TargetMode="External"/><Relationship Id="rId122" Type="http://schemas.openxmlformats.org/officeDocument/2006/relationships/hyperlink" Target="https://drive.google.com/file/d/1syOp2EJO0U90DIC4rg-y9aeGGXdFTM0_/view?usp=drivesdk" TargetMode="External"/><Relationship Id="rId95" Type="http://schemas.openxmlformats.org/officeDocument/2006/relationships/hyperlink" Target="https://drive.google.com/file/d/1Qfhy0oBdSUb_1UC-3-9qhF9lqkANUxYI/view?usp=drivesdk" TargetMode="External"/><Relationship Id="rId94" Type="http://schemas.openxmlformats.org/officeDocument/2006/relationships/hyperlink" Target="https://drive.google.com/file/d/1CvtfGf1myf_Eb6vzLNREei2A08dycW5B/view?usp=drivesdk" TargetMode="External"/><Relationship Id="rId97" Type="http://schemas.openxmlformats.org/officeDocument/2006/relationships/hyperlink" Target="https://drive.google.com/file/d/1S7wN2Q94PiBa5k2OtfQWqVsFOwxSOd7s/view?usp=drivesdk" TargetMode="External"/><Relationship Id="rId96" Type="http://schemas.openxmlformats.org/officeDocument/2006/relationships/hyperlink" Target="https://drive.google.com/file/d/1gmAyvSqUHqj6T-qXy-5PxRsq3iRFHxr1/view?usp=drivesdk" TargetMode="External"/><Relationship Id="rId11" Type="http://schemas.openxmlformats.org/officeDocument/2006/relationships/hyperlink" Target="https://drive.google.com/file/d/1WyYlZ00Laf5tndji-MfW-7CZhPX4EBp8/view?usp=drivesdk" TargetMode="External"/><Relationship Id="rId99" Type="http://schemas.openxmlformats.org/officeDocument/2006/relationships/hyperlink" Target="https://drive.google.com/file/d/1hBGdeft4DMg-cc5v2rAW0bZU_55u4Qp9/view?usp=drivesdk" TargetMode="External"/><Relationship Id="rId10" Type="http://schemas.openxmlformats.org/officeDocument/2006/relationships/hyperlink" Target="https://drive.google.com/file/d/1d-H3eZ4oK764smsT6eisYqt8ivMsKYOy/view?usp=drivesdk" TargetMode="External"/><Relationship Id="rId98" Type="http://schemas.openxmlformats.org/officeDocument/2006/relationships/hyperlink" Target="https://drive.google.com/file/d/1S7wN2Q94PiBa5k2OtfQWqVsFOwxSOd7s/view?usp=drivesdk" TargetMode="External"/><Relationship Id="rId13" Type="http://schemas.openxmlformats.org/officeDocument/2006/relationships/hyperlink" Target="https://drive.google.com/file/d/1t5Sy90R4ORiraVgkbw0iO_8yeMtXawSE/view?usp=drivesdk" TargetMode="External"/><Relationship Id="rId12" Type="http://schemas.openxmlformats.org/officeDocument/2006/relationships/hyperlink" Target="https://drive.google.com/file/d/1wAZmT1bp0mpV9iHf_lu6mAk37lrTFtb5/view?usp=drivesdk" TargetMode="External"/><Relationship Id="rId91" Type="http://schemas.openxmlformats.org/officeDocument/2006/relationships/hyperlink" Target="https://drive.google.com/file/d/123y9uMTmbAxy5v1NRLnaBgauT-0MdoOU/view?usp=drivesdk" TargetMode="External"/><Relationship Id="rId90" Type="http://schemas.openxmlformats.org/officeDocument/2006/relationships/hyperlink" Target="https://drive.google.com/file/d/1q7kudSd5hw31zlLCp-Uo4T0-zWxfbzYz/view?usp=drivesdk" TargetMode="External"/><Relationship Id="rId93" Type="http://schemas.openxmlformats.org/officeDocument/2006/relationships/hyperlink" Target="https://drive.google.com/file/d/1p0bkLNj2sLsggBzynW-kmRLpIAT3LWkC/view?usp=drivesdk" TargetMode="External"/><Relationship Id="rId92" Type="http://schemas.openxmlformats.org/officeDocument/2006/relationships/hyperlink" Target="https://drive.google.com/file/d/1pkB6j_OEvvcYcWVuM2rzk0ama_ph2h9I/view?usp=drivesdk" TargetMode="External"/><Relationship Id="rId118" Type="http://schemas.openxmlformats.org/officeDocument/2006/relationships/hyperlink" Target="https://drive.google.com/file/d/1_y6p-IF6KQSZbI2R9NWPdRe7qpTmlKmg/view?usp=drivesdk" TargetMode="External"/><Relationship Id="rId117" Type="http://schemas.openxmlformats.org/officeDocument/2006/relationships/hyperlink" Target="https://drive.google.com/file/d/1hZiOLL8ZCD9LKTWDk_NbUiTjO94Jadmx/view?usp=drivesdk" TargetMode="External"/><Relationship Id="rId116" Type="http://schemas.openxmlformats.org/officeDocument/2006/relationships/hyperlink" Target="https://drive.google.com/file/d/1yUbLunat2h46CmnmiXa0ux6WHC0WZO2c/view?usp=drivesdk" TargetMode="External"/><Relationship Id="rId115" Type="http://schemas.openxmlformats.org/officeDocument/2006/relationships/hyperlink" Target="https://drive.google.com/file/d/1LrxlxXyKc4IW3gDzm8vHEOl7ZNc_N9PN/view?usp=drivesdk" TargetMode="External"/><Relationship Id="rId119" Type="http://schemas.openxmlformats.org/officeDocument/2006/relationships/hyperlink" Target="https://drive.google.com/file/d/1ulTtg4teGTGjYp_7o1hIi0UU8FMIIpCr/view?usp=drivesdk" TargetMode="External"/><Relationship Id="rId15" Type="http://schemas.openxmlformats.org/officeDocument/2006/relationships/hyperlink" Target="https://drive.google.com/file/d/1ynnMgTOTFURIpukTOnjXffKrQZJucCCG/view?usp=drivesdk" TargetMode="External"/><Relationship Id="rId110" Type="http://schemas.openxmlformats.org/officeDocument/2006/relationships/hyperlink" Target="https://drive.google.com/file/d/1fO65gasd5fAbW5K6KLQQRl2cLsyE52VZ/view?usp=drivesdk" TargetMode="External"/><Relationship Id="rId14" Type="http://schemas.openxmlformats.org/officeDocument/2006/relationships/hyperlink" Target="https://drive.google.com/file/d/1acBeK6yHIBaCNJwgNivEhSOOMGngpoXP/view?usp=drivesdk" TargetMode="External"/><Relationship Id="rId17" Type="http://schemas.openxmlformats.org/officeDocument/2006/relationships/hyperlink" Target="https://drive.google.com/file/d/1-XzALwTxJ0FTK16dCypIfo0uAXb7SGSs/view?usp=drivesdk" TargetMode="External"/><Relationship Id="rId16" Type="http://schemas.openxmlformats.org/officeDocument/2006/relationships/hyperlink" Target="https://drive.google.com/file/d/1Ogw5hGgVBGhTb9izNcc7-Ypq0NywkQBJ/view?usp=drivesdk" TargetMode="External"/><Relationship Id="rId19" Type="http://schemas.openxmlformats.org/officeDocument/2006/relationships/hyperlink" Target="https://drive.google.com/file/d/1cDyCkprqI5sKO_XBi1rJE1NeVGS0Uc0R/view?usp=drivesdk" TargetMode="External"/><Relationship Id="rId114" Type="http://schemas.openxmlformats.org/officeDocument/2006/relationships/hyperlink" Target="https://drive.google.com/file/d/1ukR5Yv9G9v_-pnPskg3hkxf09ks9ee1p/view?usp=drivesdk" TargetMode="External"/><Relationship Id="rId18" Type="http://schemas.openxmlformats.org/officeDocument/2006/relationships/hyperlink" Target="https://drive.google.com/file/d/1_eIB5pVR6XunICagutHPT2-5SKBKiT2p/view?usp=drivesdk" TargetMode="External"/><Relationship Id="rId113" Type="http://schemas.openxmlformats.org/officeDocument/2006/relationships/hyperlink" Target="https://drive.google.com/file/d/1AijhOX7ioZSqagnipl8B-rhNKOujW75J/view?usp=drivesdk" TargetMode="External"/><Relationship Id="rId112" Type="http://schemas.openxmlformats.org/officeDocument/2006/relationships/hyperlink" Target="https://drive.google.com/file/d/10abc8zJorwHPiFAKt4l7X7NKIidHOtJA/view?usp=drivesdk" TargetMode="External"/><Relationship Id="rId111" Type="http://schemas.openxmlformats.org/officeDocument/2006/relationships/hyperlink" Target="https://drive.google.com/file/d/1b0qmLEbCIwIaoCJ_YEwavYquvB4XCwOo/view?usp=drivesdk" TargetMode="External"/><Relationship Id="rId84" Type="http://schemas.openxmlformats.org/officeDocument/2006/relationships/hyperlink" Target="https://drive.google.com/file/d/1jLi3cytvToM15Lk_fD3QEsFCu1jCh-Gh/view?usp=drivesdk" TargetMode="External"/><Relationship Id="rId83" Type="http://schemas.openxmlformats.org/officeDocument/2006/relationships/hyperlink" Target="https://drive.google.com/file/d/1-XO1gfqUS9t8SXTUBzPwuzM7F6FRV8J1/view?usp=drivesdk" TargetMode="External"/><Relationship Id="rId86" Type="http://schemas.openxmlformats.org/officeDocument/2006/relationships/hyperlink" Target="https://drive.google.com/file/d/1a6d8UdCU06lslB6zFsSWU-UU6_5lZM3N/view?usp=drivesdk" TargetMode="External"/><Relationship Id="rId85" Type="http://schemas.openxmlformats.org/officeDocument/2006/relationships/hyperlink" Target="https://drive.google.com/file/d/1p0bkLNj2sLsggBzynW-kmRLpIAT3LWkC/view?usp=drivesdk" TargetMode="External"/><Relationship Id="rId88" Type="http://schemas.openxmlformats.org/officeDocument/2006/relationships/hyperlink" Target="https://drive.google.com/file/d/1rHyPU-g-A769maUphMPjtZ-f8bqP6suW/view?usp=drivesdk" TargetMode="External"/><Relationship Id="rId87" Type="http://schemas.openxmlformats.org/officeDocument/2006/relationships/hyperlink" Target="https://drive.google.com/file/d/1m5ioKh4xJkjlaii--MD541ECIHWU-0WO/view?usp=drivesdk" TargetMode="External"/><Relationship Id="rId89" Type="http://schemas.openxmlformats.org/officeDocument/2006/relationships/hyperlink" Target="https://drive.google.com/file/d/1AnCrU2M39t2JXLcRYcmlV0Wq0Tz_dKbi/view?usp=drivesdk" TargetMode="External"/><Relationship Id="rId80" Type="http://schemas.openxmlformats.org/officeDocument/2006/relationships/hyperlink" Target="https://drive.google.com/file/d/1hBGdeft4DMg-cc5v2rAW0bZU_55u4Qp9/view?usp=drivesdk" TargetMode="External"/><Relationship Id="rId82" Type="http://schemas.openxmlformats.org/officeDocument/2006/relationships/hyperlink" Target="https://drive.google.com/file/d/1iTzeO9vyGsEf_ZPpl8uR4Ncb1NPvbewX/view?usp=drivesdk" TargetMode="External"/><Relationship Id="rId81" Type="http://schemas.openxmlformats.org/officeDocument/2006/relationships/hyperlink" Target="https://drive.google.com/file/d/1JngAzYtFpM2xYi88rNSqVGsXSDj7MFxx/view?usp=drivesdk"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file/d/1CgWsDj5nPV1zt89VKpgfe_VoCLBRimrg/view?usp=drivesdk" TargetMode="External"/><Relationship Id="rId9" Type="http://schemas.openxmlformats.org/officeDocument/2006/relationships/hyperlink" Target="https://drive.google.com/file/d/1mEJrcAc6SQBpXkJJeEIugnzA6Ya_HqHK/view?usp=drivesdk" TargetMode="External"/><Relationship Id="rId5" Type="http://schemas.openxmlformats.org/officeDocument/2006/relationships/hyperlink" Target="https://drive.google.com/file/d/13e3mbwGetXah42ZEzDXGdiZ05akJhYkL/view?usp=drivesdk" TargetMode="External"/><Relationship Id="rId6" Type="http://schemas.openxmlformats.org/officeDocument/2006/relationships/hyperlink" Target="https://drive.google.com/file/d/10MxR4A1wvA5J2wYZffw7vEY6Gyww9WrS/view?usp=drivesdk" TargetMode="External"/><Relationship Id="rId7" Type="http://schemas.openxmlformats.org/officeDocument/2006/relationships/hyperlink" Target="https://drive.google.com/file/d/1gmfGod_Ok8cUYLxF28leFTjNLOOt4S5Q/view?usp=drivesdk" TargetMode="External"/><Relationship Id="rId8" Type="http://schemas.openxmlformats.org/officeDocument/2006/relationships/hyperlink" Target="https://drive.google.com/file/d/1IIOkW-m4hX7EJkKbIhEopF7RaB1roq7E/view?usp=drivesdk" TargetMode="External"/><Relationship Id="rId73" Type="http://schemas.openxmlformats.org/officeDocument/2006/relationships/hyperlink" Target="https://drive.google.com/file/d/1CvtfGf1myf_Eb6vzLNREei2A08dycW5B/view?usp=drivesdk" TargetMode="External"/><Relationship Id="rId72" Type="http://schemas.openxmlformats.org/officeDocument/2006/relationships/hyperlink" Target="https://drive.google.com/file/d/1a_SuLBkUcoYLSQSE3U2AI47PsmrWPqHu/view?usp=drivesdk" TargetMode="External"/><Relationship Id="rId75" Type="http://schemas.openxmlformats.org/officeDocument/2006/relationships/hyperlink" Target="https://drive.google.com/file/d/1O1Q1tXgQIpDEZ-bxiKy5gW_47vnsk_Aw/view?usp=drivesdk" TargetMode="External"/><Relationship Id="rId74" Type="http://schemas.openxmlformats.org/officeDocument/2006/relationships/hyperlink" Target="https://drive.google.com/file/d/1d3CxV0BRSrW83XPHowvZW_EU9YTvTxnB/view?usp=drivesdk" TargetMode="External"/><Relationship Id="rId77" Type="http://schemas.openxmlformats.org/officeDocument/2006/relationships/hyperlink" Target="https://drive.google.com/file/d/1r8a7S9Hxa0IjWSA_6WKPNjD-vUI5IRWa/view?usp=drivesdk" TargetMode="External"/><Relationship Id="rId76" Type="http://schemas.openxmlformats.org/officeDocument/2006/relationships/hyperlink" Target="https://drive.google.com/file/d/1vms3eYa7WQJTkrQM1sH7c01poZb9tF6_/view?usp=drivesdk" TargetMode="External"/><Relationship Id="rId79" Type="http://schemas.openxmlformats.org/officeDocument/2006/relationships/hyperlink" Target="https://drive.google.com/file/d/1S7wN2Q94PiBa5k2OtfQWqVsFOwxSOd7s/view?usp=drivesdk" TargetMode="External"/><Relationship Id="rId78" Type="http://schemas.openxmlformats.org/officeDocument/2006/relationships/hyperlink" Target="https://drive.google.com/file/d/1yrS3ElK89QMMaHSErErRMjP4k7ORWlL6/view?usp=drivesdk" TargetMode="External"/><Relationship Id="rId71" Type="http://schemas.openxmlformats.org/officeDocument/2006/relationships/hyperlink" Target="https://drive.google.com/file/d/1OPfd50HLDm71Qjj8K63YprKvzag1Ivwc/view?usp=drivesdk" TargetMode="External"/><Relationship Id="rId70" Type="http://schemas.openxmlformats.org/officeDocument/2006/relationships/hyperlink" Target="https://drive.google.com/file/d/1nh8niAyJbeerXbo0m9fa41u1aRwObAwY/view?usp=drivesdk" TargetMode="External"/><Relationship Id="rId131" Type="http://schemas.openxmlformats.org/officeDocument/2006/relationships/vmlDrawing" Target="../drawings/vmlDrawing1.vml"/><Relationship Id="rId130" Type="http://schemas.openxmlformats.org/officeDocument/2006/relationships/drawing" Target="../drawings/drawing1.xml"/><Relationship Id="rId133" Type="http://schemas.openxmlformats.org/officeDocument/2006/relationships/table" Target="../tables/table1.xml"/><Relationship Id="rId62" Type="http://schemas.openxmlformats.org/officeDocument/2006/relationships/hyperlink" Target="https://drive.google.com/file/d/1OPO_gZIHZXncNH6cwb0REUt6PhbKBafK/view?usp=drivesdk" TargetMode="External"/><Relationship Id="rId61" Type="http://schemas.openxmlformats.org/officeDocument/2006/relationships/hyperlink" Target="https://drive.google.com/file/d/1Qfhy0oBdSUb_1UC-3-9qhF9lqkANUxYI/view?usp=drivesdk" TargetMode="External"/><Relationship Id="rId64" Type="http://schemas.openxmlformats.org/officeDocument/2006/relationships/hyperlink" Target="https://drive.google.com/file/d/183VNFydcKfrGGFlFXFWAscYJ3W9U3z9I/view?usp=drivesdk" TargetMode="External"/><Relationship Id="rId63" Type="http://schemas.openxmlformats.org/officeDocument/2006/relationships/hyperlink" Target="https://drive.google.com/file/d/1tgP4Mxxmxga0rQGV5QFXsfrkI3WHsh0g/view?usp=drivesdk" TargetMode="External"/><Relationship Id="rId66" Type="http://schemas.openxmlformats.org/officeDocument/2006/relationships/hyperlink" Target="https://drive.google.com/file/d/1Jco6_lpP7MmQmR1ipIcLntljgRBY2Ix6/view?usp=drivesdk" TargetMode="External"/><Relationship Id="rId65" Type="http://schemas.openxmlformats.org/officeDocument/2006/relationships/hyperlink" Target="https://drive.google.com/file/d/1Bt8Ee5gwVgToJMvhATWeeB_MH9GOcjo0/view?usp=drivesdk" TargetMode="External"/><Relationship Id="rId68" Type="http://schemas.openxmlformats.org/officeDocument/2006/relationships/hyperlink" Target="https://drive.google.com/file/d/1p3sPFVrF34FImwGmRUNBMRzP2ueohbOH/view?usp=drivesdk" TargetMode="External"/><Relationship Id="rId67" Type="http://schemas.openxmlformats.org/officeDocument/2006/relationships/hyperlink" Target="https://drive.google.com/file/d/1eDHkd8cXN5pBBhjoo8dYl90qMGN97V1j/view?usp=drivesdk" TargetMode="External"/><Relationship Id="rId60" Type="http://schemas.openxmlformats.org/officeDocument/2006/relationships/hyperlink" Target="https://drive.google.com/file/d/10yc9G8K9z4cASWiXB0koabWF80byQxIB/view?usp=drivesdk" TargetMode="External"/><Relationship Id="rId69" Type="http://schemas.openxmlformats.org/officeDocument/2006/relationships/hyperlink" Target="https://drive.google.com/file/d/1Jj2S9lWyyYnOdrQ79VLyYE62iX24E5DP/view?usp=drivesdk" TargetMode="External"/><Relationship Id="rId51" Type="http://schemas.openxmlformats.org/officeDocument/2006/relationships/hyperlink" Target="https://drive.google.com/file/d/13Ixs8BKKbNGnt-XOjDOVJCPqCwKETDLk/view?usp=drivesdk" TargetMode="External"/><Relationship Id="rId50" Type="http://schemas.openxmlformats.org/officeDocument/2006/relationships/hyperlink" Target="https://drive.google.com/file/d/1Q4o3TvwjHyRPsibfjlXgr-TBnf9sLcBp/view?usp=drivesdk" TargetMode="External"/><Relationship Id="rId53" Type="http://schemas.openxmlformats.org/officeDocument/2006/relationships/hyperlink" Target="https://drive.google.com/file/d/1hHA7DSfXOU5667hlTmBl77G7ma-d5lyy/view?usp=drivesdk" TargetMode="External"/><Relationship Id="rId52" Type="http://schemas.openxmlformats.org/officeDocument/2006/relationships/hyperlink" Target="https://drive.google.com/file/d/1o9E8TKrtFIqOGsPEfIQRmzBBvbn1MWzF/view?usp=drivesdk" TargetMode="External"/><Relationship Id="rId55" Type="http://schemas.openxmlformats.org/officeDocument/2006/relationships/hyperlink" Target="https://drive.google.com/file/d/1UZvP6iV0aX_HShGuZ0ZzCFG_QGc1hgEh/view?usp=drivesdk" TargetMode="External"/><Relationship Id="rId54" Type="http://schemas.openxmlformats.org/officeDocument/2006/relationships/hyperlink" Target="https://drive.google.com/file/d/1yjxEXPNf1uaEbpNFgbJi8SYkmq3wbL2f/view?usp=drivesdk" TargetMode="External"/><Relationship Id="rId57" Type="http://schemas.openxmlformats.org/officeDocument/2006/relationships/hyperlink" Target="https://drive.google.com/file/d/1X3DmDRbWOUSqkczcHfVmbzTHkas-h96l/view?usp=drivesdk" TargetMode="External"/><Relationship Id="rId56" Type="http://schemas.openxmlformats.org/officeDocument/2006/relationships/hyperlink" Target="https://drive.google.com/file/d/1vohW0QSsEhyrbzpd955hIeTG1BEdgEoA/view?usp=drivesdk" TargetMode="External"/><Relationship Id="rId59" Type="http://schemas.openxmlformats.org/officeDocument/2006/relationships/hyperlink" Target="https://drive.google.com/file/d/1hqLUcxCTA04U916-iKweF5OK0CuAfCHJ/view?usp=drivesdk" TargetMode="External"/><Relationship Id="rId58" Type="http://schemas.openxmlformats.org/officeDocument/2006/relationships/hyperlink" Target="https://drive.google.com/file/d/1PLT5a3RocIb4v2SWW_yjhjBkQcYCb6cl/view?usp=drivesd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lMxuoFSfd4pOjkWNc3Qh3-vXdh5QV0G1/view?usp=drivesdk" TargetMode="External"/><Relationship Id="rId42" Type="http://schemas.openxmlformats.org/officeDocument/2006/relationships/hyperlink" Target="https://drive.google.com/file/d/11LxMmsB68DjzOzDEHezWfi6JuMC8LiAz/view?usp=drivesdk" TargetMode="External"/><Relationship Id="rId41" Type="http://schemas.openxmlformats.org/officeDocument/2006/relationships/hyperlink" Target="https://drive.google.com/file/d/13ml7F9u2Gwpz6pZi8WnVTjBrW1QoDc3P/view?usp=drivesdk" TargetMode="External"/><Relationship Id="rId44" Type="http://schemas.openxmlformats.org/officeDocument/2006/relationships/hyperlink" Target="https://drive.google.com/file/d/1qf1xkH7FMOGmdcFnm5rC67Bh8_3kd025/view?usp=drivesdk" TargetMode="External"/><Relationship Id="rId43" Type="http://schemas.openxmlformats.org/officeDocument/2006/relationships/hyperlink" Target="https://drive.google.com/file/d/1t35hwBLIqDyI_DMSgLKMx_xC-cQso42b/view?usp=drivesdk" TargetMode="External"/><Relationship Id="rId46" Type="http://schemas.openxmlformats.org/officeDocument/2006/relationships/hyperlink" Target="https://drive.google.com/file/d/1MyU4iZZXWUsoOY3jb2YcOoG-gRL45Atn/view?usp=drivesdk" TargetMode="External"/><Relationship Id="rId45" Type="http://schemas.openxmlformats.org/officeDocument/2006/relationships/hyperlink" Target="https://drive.google.com/file/d/1TnqExuZTKXBgKyttT_I9EiOitWhS1BuR/view?usp=drivesdk" TargetMode="External"/><Relationship Id="rId107" Type="http://schemas.openxmlformats.org/officeDocument/2006/relationships/hyperlink" Target="https://drive.google.com/file/d/1qD6Frrd5NOaS5HKFnOOBT2wa9uh4gA4n/view?usp=drivesdk" TargetMode="External"/><Relationship Id="rId106" Type="http://schemas.openxmlformats.org/officeDocument/2006/relationships/hyperlink" Target="https://drive.google.com/file/d/1RVziteI4_J0iU7ieAvCbUTIEW4pPpewV/view?usp=drivesdk" TargetMode="External"/><Relationship Id="rId105" Type="http://schemas.openxmlformats.org/officeDocument/2006/relationships/hyperlink" Target="https://drive.google.com/file/d/1VLwZNbot4rPX2wHc57BI7IvP46eeAID_/view?usp=drivesdk" TargetMode="External"/><Relationship Id="rId104" Type="http://schemas.openxmlformats.org/officeDocument/2006/relationships/hyperlink" Target="https://drive.google.com/file/d/1AA1gHTxDxxWO3gQGXgCf8xfKbF7t_3E3/view?usp=drivesdk" TargetMode="External"/><Relationship Id="rId109" Type="http://schemas.openxmlformats.org/officeDocument/2006/relationships/hyperlink" Target="https://drive.google.com/file/d/19mpGsdxYykk0ozLbvOO-ZFDqSNh6Nkg4/view?usp=drivesdk" TargetMode="External"/><Relationship Id="rId108" Type="http://schemas.openxmlformats.org/officeDocument/2006/relationships/hyperlink" Target="https://drive.google.com/file/d/1rb3nrew5RmXuI3bba4olW46SaNyNXczV/view?usp=drivesdk" TargetMode="External"/><Relationship Id="rId48" Type="http://schemas.openxmlformats.org/officeDocument/2006/relationships/hyperlink" Target="https://drive.google.com/file/d/1CwkN6qTqlDTT2YGN75prx03dmCfgq60N/view?usp=drivesdk" TargetMode="External"/><Relationship Id="rId47" Type="http://schemas.openxmlformats.org/officeDocument/2006/relationships/hyperlink" Target="https://drive.google.com/file/d/1HhYsOX5qgWtT8522l5I_A_4_x-ZYpyIV/view?usp=drivesdk" TargetMode="External"/><Relationship Id="rId49" Type="http://schemas.openxmlformats.org/officeDocument/2006/relationships/hyperlink" Target="https://drive.google.com/file/d/1Fm7IkogMeb9lHZYqMvkbxFZrUN7TRfvb/view?usp=drivesdk" TargetMode="External"/><Relationship Id="rId103" Type="http://schemas.openxmlformats.org/officeDocument/2006/relationships/hyperlink" Target="https://drive.google.com/file/d/17VOpEu8tocPsOodI2Fgv558KIqHPzPBW/view?usp=drivesdk" TargetMode="External"/><Relationship Id="rId102" Type="http://schemas.openxmlformats.org/officeDocument/2006/relationships/hyperlink" Target="https://drive.google.com/file/d/1QY9zJkILqfARPgLx0_66_eHiZiJGTpIR/view?usp=drivesdk" TargetMode="External"/><Relationship Id="rId101" Type="http://schemas.openxmlformats.org/officeDocument/2006/relationships/hyperlink" Target="https://drive.google.com/file/d/1JQHMvmdYfP0mrw8W5A0vJtm9dmEevvI7/view?usp=drivesdk" TargetMode="External"/><Relationship Id="rId100" Type="http://schemas.openxmlformats.org/officeDocument/2006/relationships/hyperlink" Target="https://drive.google.com/file/d/1vKryVEkwQmQQ5NYLuHD4uN5LoPICprxS/view?usp=drivesdk" TargetMode="External"/><Relationship Id="rId31" Type="http://schemas.openxmlformats.org/officeDocument/2006/relationships/hyperlink" Target="https://drive.google.com/file/d/1mIDo-VaOi-Y1R170_SIs3oqqj-B8Liz5/view?usp=drivesdk" TargetMode="External"/><Relationship Id="rId30" Type="http://schemas.openxmlformats.org/officeDocument/2006/relationships/hyperlink" Target="https://drive.google.com/file/d/19m_1s6RylAwXNjWsEx4cOdMbEOGKrQrs/view?usp=drivesdk" TargetMode="External"/><Relationship Id="rId33" Type="http://schemas.openxmlformats.org/officeDocument/2006/relationships/hyperlink" Target="https://drive.google.com/file/d/17Y6y98jcmYmCWhggvoyQwm816lnu8Pt1/view?usp=drivesdk" TargetMode="External"/><Relationship Id="rId32" Type="http://schemas.openxmlformats.org/officeDocument/2006/relationships/hyperlink" Target="https://drive.google.com/file/d/1RqaLyQRdT5XBXGKwZUI-KM2H1pafy_3F/view?usp=drivesdk" TargetMode="External"/><Relationship Id="rId35" Type="http://schemas.openxmlformats.org/officeDocument/2006/relationships/hyperlink" Target="https://drive.google.com/file/d/1BSjAm9DgL4kVD_3i0hPQ5NjRhRCMR0A5/view?usp=drivesdk" TargetMode="External"/><Relationship Id="rId34" Type="http://schemas.openxmlformats.org/officeDocument/2006/relationships/hyperlink" Target="https://drive.google.com/file/d/15w6kCtO8ip3xwI4JvMNb-MDLwxrPAFG3/view?usp=drivesdk" TargetMode="External"/><Relationship Id="rId37" Type="http://schemas.openxmlformats.org/officeDocument/2006/relationships/hyperlink" Target="https://drive.google.com/file/d/1rY-aJxzEUXGgqclkfevffhmaXbr4hFeJ/view?usp=drivesdk" TargetMode="External"/><Relationship Id="rId36" Type="http://schemas.openxmlformats.org/officeDocument/2006/relationships/hyperlink" Target="https://drive.google.com/file/d/1vvi14VLo2aSYx3jXLItUl05rlKRzKpLv/view?usp=drivesdk" TargetMode="External"/><Relationship Id="rId39" Type="http://schemas.openxmlformats.org/officeDocument/2006/relationships/hyperlink" Target="https://drive.google.com/file/d/1HaWXNKFKzvcTimeclM02jnFfEqDl2P2B/view?usp=drivesdk" TargetMode="External"/><Relationship Id="rId38" Type="http://schemas.openxmlformats.org/officeDocument/2006/relationships/hyperlink" Target="https://drive.google.com/file/d/1qj2ANiyZy6BPel2RI2CYXO6MeQJwB1gu/view?usp=drivesdk" TargetMode="External"/><Relationship Id="rId20" Type="http://schemas.openxmlformats.org/officeDocument/2006/relationships/hyperlink" Target="https://drive.google.com/file/d/1JGHQaiROnw-XeR6KdWIp0EEAC_MHpRkV/view?usp=drivesdk" TargetMode="External"/><Relationship Id="rId22" Type="http://schemas.openxmlformats.org/officeDocument/2006/relationships/hyperlink" Target="https://drive.google.com/file/d/1UWIPpfKGPv9PZky_08B1VNEAdYxUN9LA/view?usp=drivesdk" TargetMode="External"/><Relationship Id="rId21" Type="http://schemas.openxmlformats.org/officeDocument/2006/relationships/hyperlink" Target="https://drive.google.com/file/d/1DNcQPuYX9pDS_69IxirqwLYtZESMsEr8/view?usp=drivesdk" TargetMode="External"/><Relationship Id="rId24" Type="http://schemas.openxmlformats.org/officeDocument/2006/relationships/hyperlink" Target="https://drive.google.com/file/d/1RejrBjvhlSXH67DWvgfprLGZ-W-vC6Im/view?usp=drivesdk" TargetMode="External"/><Relationship Id="rId23" Type="http://schemas.openxmlformats.org/officeDocument/2006/relationships/hyperlink" Target="https://drive.google.com/file/d/1eQPb1zSMwmQJMXjh2X1LBuo74z6w7f4A/view?usp=drivesdk" TargetMode="External"/><Relationship Id="rId129" Type="http://schemas.openxmlformats.org/officeDocument/2006/relationships/hyperlink" Target="https://drive.google.com/file/d/1eSbUAzIPBZ0GGguuOzmdBMKuUOogGkdx/view?usp=drivesdk" TargetMode="External"/><Relationship Id="rId128" Type="http://schemas.openxmlformats.org/officeDocument/2006/relationships/hyperlink" Target="https://drive.google.com/file/d/1NemMKReFHlRTdXc3SbrE-VHc5_ZdcaJv/view?usp=drivesdk" TargetMode="External"/><Relationship Id="rId127" Type="http://schemas.openxmlformats.org/officeDocument/2006/relationships/hyperlink" Target="https://drive.google.com/file/d/1NRL2UB4xU2zwTyYYWnQzEpqVJR4w9WfT/view?usp=drivesdk" TargetMode="External"/><Relationship Id="rId126" Type="http://schemas.openxmlformats.org/officeDocument/2006/relationships/hyperlink" Target="https://drive.google.com/file/d/1BRtCxn1vLWvnpgQGWF0WoP89_I_Fhsyl/view?usp=drivesdk" TargetMode="External"/><Relationship Id="rId26" Type="http://schemas.openxmlformats.org/officeDocument/2006/relationships/hyperlink" Target="https://drive.google.com/file/d/1ZfhUNWRRaHhfvcekzv8Bb2pMW2KkoJIx/view?usp=drivesdk" TargetMode="External"/><Relationship Id="rId121" Type="http://schemas.openxmlformats.org/officeDocument/2006/relationships/hyperlink" Target="https://drive.google.com/file/d/1Nx0UMvwuxGspwTILVNmpWRqMnf8LWm_-/view?usp=drivesdk" TargetMode="External"/><Relationship Id="rId25" Type="http://schemas.openxmlformats.org/officeDocument/2006/relationships/hyperlink" Target="https://drive.google.com/file/d/1pEWFZByWGfVN4IW73JvKw_MONVNekTRO/view?usp=drivesdk" TargetMode="External"/><Relationship Id="rId120" Type="http://schemas.openxmlformats.org/officeDocument/2006/relationships/hyperlink" Target="https://drive.google.com/file/d/1nebn9FkkOS1toxUnz0DkNmpjYR8bh5Ks/view?usp=drivesdk" TargetMode="External"/><Relationship Id="rId28" Type="http://schemas.openxmlformats.org/officeDocument/2006/relationships/hyperlink" Target="https://drive.google.com/file/d/15lyXK8W2NUJ8oYoWD2HIh_iOoCwdnDaU/view?usp=drivesdk" TargetMode="External"/><Relationship Id="rId27" Type="http://schemas.openxmlformats.org/officeDocument/2006/relationships/hyperlink" Target="https://drive.google.com/file/d/1clOrxLSIQvcJvheDGBgGFwA54nJRBSl6/view?usp=drivesdk" TargetMode="External"/><Relationship Id="rId125" Type="http://schemas.openxmlformats.org/officeDocument/2006/relationships/hyperlink" Target="https://drive.google.com/file/d/1B16n4bfl9s6pGK6hTWo9kgrarO44wWFg/view?usp=drivesdk" TargetMode="External"/><Relationship Id="rId29" Type="http://schemas.openxmlformats.org/officeDocument/2006/relationships/hyperlink" Target="https://drive.google.com/file/d/1KZIvdxPRHai2MY6bPtFHVoxUqVN40wvF/view?usp=drivesdk" TargetMode="External"/><Relationship Id="rId124" Type="http://schemas.openxmlformats.org/officeDocument/2006/relationships/hyperlink" Target="https://drive.google.com/file/d/1hpbfWPWFjoLHa5b7qMkFi6F1Q-p_caMV/view?usp=drivesdk" TargetMode="External"/><Relationship Id="rId123" Type="http://schemas.openxmlformats.org/officeDocument/2006/relationships/hyperlink" Target="https://drive.google.com/file/d/1YKz1i3L9sCzP20V4pPAJQb97kdmRWzBY/view?usp=drivesdk" TargetMode="External"/><Relationship Id="rId122" Type="http://schemas.openxmlformats.org/officeDocument/2006/relationships/hyperlink" Target="https://drive.google.com/file/d/1ghW3Mw5f38nXSPErxCR8lqL9xjNh6gzF/view?usp=drivesdk" TargetMode="External"/><Relationship Id="rId95" Type="http://schemas.openxmlformats.org/officeDocument/2006/relationships/hyperlink" Target="https://drive.google.com/file/d/1PvgOhV_HeLNmlR1JfLdG7KEHy90hqbzc/view?usp=drivesdk" TargetMode="External"/><Relationship Id="rId94" Type="http://schemas.openxmlformats.org/officeDocument/2006/relationships/hyperlink" Target="https://drive.google.com/file/d/1sJEW2Ux4WYQFc8Vp_TX_vB9V4lYf--y8/view?usp=drivesdk" TargetMode="External"/><Relationship Id="rId97" Type="http://schemas.openxmlformats.org/officeDocument/2006/relationships/hyperlink" Target="https://drive.google.com/file/d/1AuvNVPhRW3lUmrKhnU2ti5VEjIHpPePE/view?usp=drivesdk" TargetMode="External"/><Relationship Id="rId96" Type="http://schemas.openxmlformats.org/officeDocument/2006/relationships/hyperlink" Target="https://drive.google.com/file/d/1UvUDc8AW8geKlxAX2gj2YvRQ9C-u7fl8/view?usp=drivesdk" TargetMode="External"/><Relationship Id="rId11" Type="http://schemas.openxmlformats.org/officeDocument/2006/relationships/hyperlink" Target="https://drive.google.com/file/d/15g1Mch4B3Ri4uv9ttWe1YuaoOKC6VhgE/view?usp=drivesdk" TargetMode="External"/><Relationship Id="rId99" Type="http://schemas.openxmlformats.org/officeDocument/2006/relationships/hyperlink" Target="https://drive.google.com/file/d/1uzFxZ68eIBCNICQGI8i5elWla8eg1vpT/view?usp=drivesdk" TargetMode="External"/><Relationship Id="rId10" Type="http://schemas.openxmlformats.org/officeDocument/2006/relationships/hyperlink" Target="https://drive.google.com/file/d/197tW5k8xB0ZI0hkjUHsCLDMeArpa-lsX/view?usp=drivesdk" TargetMode="External"/><Relationship Id="rId98" Type="http://schemas.openxmlformats.org/officeDocument/2006/relationships/hyperlink" Target="https://drive.google.com/file/d/1BTeInHlat3DZXnpYzDoI7wYN77KWYqmk/view?usp=drivesdk" TargetMode="External"/><Relationship Id="rId13" Type="http://schemas.openxmlformats.org/officeDocument/2006/relationships/hyperlink" Target="https://drive.google.com/file/d/1spJcqVEcAyZHUco5rLNHOWmG8uXhGcG3/view?usp=drivesdk" TargetMode="External"/><Relationship Id="rId12" Type="http://schemas.openxmlformats.org/officeDocument/2006/relationships/hyperlink" Target="https://drive.google.com/file/d/12eBcv6X9b9Z0rM43iEGEuc_vklHLkl2j/view?usp=drivesdk" TargetMode="External"/><Relationship Id="rId91" Type="http://schemas.openxmlformats.org/officeDocument/2006/relationships/hyperlink" Target="https://drive.google.com/file/d/1VtUmIunPrRfMtCgNpOikCTlBX2eSch6h/view?usp=drivesdk" TargetMode="External"/><Relationship Id="rId90" Type="http://schemas.openxmlformats.org/officeDocument/2006/relationships/hyperlink" Target="https://drive.google.com/file/d/10TTySAffr-CFL0IwnF9lOt-U9-9MrgZT/view?usp=drivesdk" TargetMode="External"/><Relationship Id="rId93" Type="http://schemas.openxmlformats.org/officeDocument/2006/relationships/hyperlink" Target="https://drive.google.com/file/d/1bZ1ze2QePOeWrT_TknUAyIUw_s9FAUvd/view?usp=drivesdk" TargetMode="External"/><Relationship Id="rId92" Type="http://schemas.openxmlformats.org/officeDocument/2006/relationships/hyperlink" Target="https://drive.google.com/file/d/1mhTktbjwoVmO4GU94WY9ui3tWNAcOjhb/view?usp=drivesdk" TargetMode="External"/><Relationship Id="rId118" Type="http://schemas.openxmlformats.org/officeDocument/2006/relationships/hyperlink" Target="https://drive.google.com/file/d/1J0uVcvAa-SGvUHR6uIg2sqO-UaBj2FEa/view?usp=drivesdk" TargetMode="External"/><Relationship Id="rId117" Type="http://schemas.openxmlformats.org/officeDocument/2006/relationships/hyperlink" Target="https://drive.google.com/file/d/1_hqqYXQb-DoBC2Rjtx4gwJ_aeqTYDa-G/view?usp=drivesdk" TargetMode="External"/><Relationship Id="rId116" Type="http://schemas.openxmlformats.org/officeDocument/2006/relationships/hyperlink" Target="https://drive.google.com/file/d/1JZpX0eqIxtDkVSl8XYdd8XNL9owf5YOI/view?usp=drivesdk" TargetMode="External"/><Relationship Id="rId115" Type="http://schemas.openxmlformats.org/officeDocument/2006/relationships/hyperlink" Target="https://drive.google.com/file/d/1cFfC2VQSJiqRlJ0OvEapdeth9Nw_LgU9/view?usp=drivesdk" TargetMode="External"/><Relationship Id="rId119" Type="http://schemas.openxmlformats.org/officeDocument/2006/relationships/hyperlink" Target="https://drive.google.com/file/d/1t322CcZIIJwxibG8pmuczT74MybgI8O-/view?usp=drivesdk" TargetMode="External"/><Relationship Id="rId15" Type="http://schemas.openxmlformats.org/officeDocument/2006/relationships/hyperlink" Target="https://drive.google.com/file/d/1RCFvMuSUEMEcZ9N6Y404If2ND2CPwnaE/view?usp=drivesdk" TargetMode="External"/><Relationship Id="rId110" Type="http://schemas.openxmlformats.org/officeDocument/2006/relationships/hyperlink" Target="https://drive.google.com/file/d/10wgreFex5QiWn4-4J_5bHjl_yCLBram3/view?usp=drivesdk" TargetMode="External"/><Relationship Id="rId14" Type="http://schemas.openxmlformats.org/officeDocument/2006/relationships/hyperlink" Target="https://drive.google.com/file/d/1E58_xafgSo8QqdoQ3X-lPxNOM1s-n3W6/view?usp=drivesdk" TargetMode="External"/><Relationship Id="rId17" Type="http://schemas.openxmlformats.org/officeDocument/2006/relationships/hyperlink" Target="https://drive.google.com/file/d/1jn2jeIbknWjZEWL2MFQHjmShzSeD7Qrq/view?usp=drivesdk" TargetMode="External"/><Relationship Id="rId16" Type="http://schemas.openxmlformats.org/officeDocument/2006/relationships/hyperlink" Target="https://drive.google.com/file/d/1VwIGRLUWnCXvMZ5hsoipz4J5lwGniYYp/view?usp=drivesdk" TargetMode="External"/><Relationship Id="rId19" Type="http://schemas.openxmlformats.org/officeDocument/2006/relationships/hyperlink" Target="https://drive.google.com/file/d/1cPHRyCsY_JZssp_iFB79RU9r4DiOyVF0/view?usp=drivesdk" TargetMode="External"/><Relationship Id="rId114" Type="http://schemas.openxmlformats.org/officeDocument/2006/relationships/hyperlink" Target="https://drive.google.com/file/d/1N5jp60gvySFXzNl2XMkxgiacH8HG4l8y/view?usp=drivesdk" TargetMode="External"/><Relationship Id="rId18" Type="http://schemas.openxmlformats.org/officeDocument/2006/relationships/hyperlink" Target="https://drive.google.com/file/d/1m68hJhdThWVGa8qnZCcSgSGL4eo_0_LG/view?usp=drivesdk" TargetMode="External"/><Relationship Id="rId113" Type="http://schemas.openxmlformats.org/officeDocument/2006/relationships/hyperlink" Target="https://drive.google.com/file/d/10WA8lBnXhJJ3Ay7hTSftamBm8_xx8RzW/view?usp=drivesdk" TargetMode="External"/><Relationship Id="rId112" Type="http://schemas.openxmlformats.org/officeDocument/2006/relationships/hyperlink" Target="https://drive.google.com/file/d/1PduA3u_WYq56daGlKbrz01Pd-0NljtpH/view?usp=drivesdk" TargetMode="External"/><Relationship Id="rId111" Type="http://schemas.openxmlformats.org/officeDocument/2006/relationships/hyperlink" Target="https://drive.google.com/file/d/1lAeCkfVEZeCcLo-qiDEL0sEoJEWX_9RO/view?usp=drivesdk" TargetMode="External"/><Relationship Id="rId84" Type="http://schemas.openxmlformats.org/officeDocument/2006/relationships/hyperlink" Target="https://drive.google.com/file/d/1UOpPl4WuS3uuGNuW6O1z6FeDeABA8ZBm/view?usp=drivesdk" TargetMode="External"/><Relationship Id="rId83" Type="http://schemas.openxmlformats.org/officeDocument/2006/relationships/hyperlink" Target="https://drive.google.com/file/d/1uBeMXIGySf7Jxfs2N2Qf7r6r1HHkGUr8/view?usp=drivesdk" TargetMode="External"/><Relationship Id="rId86" Type="http://schemas.openxmlformats.org/officeDocument/2006/relationships/hyperlink" Target="https://drive.google.com/file/d/1bkTQbJnCRvOCgn8ecn4i0YD5GdbH8rhX/view?usp=drivesdk" TargetMode="External"/><Relationship Id="rId85" Type="http://schemas.openxmlformats.org/officeDocument/2006/relationships/hyperlink" Target="https://drive.google.com/file/d/18xEYKadC29n5EoN30vu2GQ_zTMDW41rt/view?usp=drivesdk" TargetMode="External"/><Relationship Id="rId88" Type="http://schemas.openxmlformats.org/officeDocument/2006/relationships/hyperlink" Target="https://drive.google.com/file/d/1Y-8yDowe_bm-1mu9Un0NTsLo0p8zjExb/view?usp=drivesdk" TargetMode="External"/><Relationship Id="rId87" Type="http://schemas.openxmlformats.org/officeDocument/2006/relationships/hyperlink" Target="https://drive.google.com/file/d/1LNnLzdFvkqyj9UiQMXbt_gAVM4F5PEfX/view?usp=drivesdk" TargetMode="External"/><Relationship Id="rId89" Type="http://schemas.openxmlformats.org/officeDocument/2006/relationships/hyperlink" Target="https://drive.google.com/file/d/1arJX17Ay1D9Dx7BxZWkAg-f0TbkcqJLY/view?usp=drivesdk" TargetMode="External"/><Relationship Id="rId80" Type="http://schemas.openxmlformats.org/officeDocument/2006/relationships/hyperlink" Target="https://drive.google.com/file/d/1G1X4A_nZAdWL2L3iJB_kAlEM-I26haPL/view?usp=drivesdk" TargetMode="External"/><Relationship Id="rId82" Type="http://schemas.openxmlformats.org/officeDocument/2006/relationships/hyperlink" Target="https://drive.google.com/file/d/1HnpGRuUF7ZPuxVYDg2STLktnrDowSkyQ/view?usp=drivesdk" TargetMode="External"/><Relationship Id="rId81" Type="http://schemas.openxmlformats.org/officeDocument/2006/relationships/hyperlink" Target="https://drive.google.com/file/d/1s2P2PYkG5u8iY4cJTgX6oIgr0WvoFcwY/view?usp=drivesdk" TargetMode="External"/><Relationship Id="rId1" Type="http://schemas.openxmlformats.org/officeDocument/2006/relationships/hyperlink" Target="https://drive.google.com/file/d/1-rEc0R7k6rcXenSQOFHoA1vyaH-W3lGw/view?usp=drivesdk" TargetMode="External"/><Relationship Id="rId2" Type="http://schemas.openxmlformats.org/officeDocument/2006/relationships/hyperlink" Target="https://drive.google.com/file/d/178JwpQfYGvDrS6UTsz6qWf1yvs4xOxvE/view?usp=drivesdk" TargetMode="External"/><Relationship Id="rId3" Type="http://schemas.openxmlformats.org/officeDocument/2006/relationships/hyperlink" Target="https://drive.google.com/file/d/1uryNtOw5k-qV80kV99G5C2erk-dw_Dr5/view?usp=drivesdk" TargetMode="External"/><Relationship Id="rId4" Type="http://schemas.openxmlformats.org/officeDocument/2006/relationships/hyperlink" Target="https://drive.google.com/file/d/1g1fvrns_D1BBTTmzuokrJgCip4BkOkiR/view?usp=drivesdk" TargetMode="External"/><Relationship Id="rId9" Type="http://schemas.openxmlformats.org/officeDocument/2006/relationships/hyperlink" Target="https://drive.google.com/file/d/1qIP-8WOCtnSNdkrrqJfuO6A3U66QY-tA/view?usp=drivesdk" TargetMode="External"/><Relationship Id="rId143" Type="http://schemas.openxmlformats.org/officeDocument/2006/relationships/hyperlink" Target="https://drive.google.com/file/d/1Ln-GCYU5gLpMOk_f_gj8iOiAkT_zzNVM/view?usp=drivesdk" TargetMode="External"/><Relationship Id="rId142" Type="http://schemas.openxmlformats.org/officeDocument/2006/relationships/hyperlink" Target="https://drive.google.com/file/d/17-AnVcAobVsnlx3pf75DA7snvfpywzNc/view?usp=drivesdk" TargetMode="External"/><Relationship Id="rId141" Type="http://schemas.openxmlformats.org/officeDocument/2006/relationships/hyperlink" Target="https://drive.google.com/file/d/1YxCCZv7iPulo-2cGF5--IjIbFZJwC3yx/view?usp=drivesdk" TargetMode="External"/><Relationship Id="rId140" Type="http://schemas.openxmlformats.org/officeDocument/2006/relationships/hyperlink" Target="https://drive.google.com/file/d/1cR86PKZFmbEF81PrjyhAtXCeNnU9KzDh/view?usp=drivesdk" TargetMode="External"/><Relationship Id="rId5" Type="http://schemas.openxmlformats.org/officeDocument/2006/relationships/hyperlink" Target="https://drive.google.com/file/d/1ui91BuPhTNdkl9F9gFrJXDo63aiuk5cD/view?usp=drivesdk" TargetMode="External"/><Relationship Id="rId6" Type="http://schemas.openxmlformats.org/officeDocument/2006/relationships/hyperlink" Target="https://drive.google.com/file/d/1RxV63-7dsW2pql3sk-jf1iblVZyXX2xj/view?usp=drivesdk" TargetMode="External"/><Relationship Id="rId146" Type="http://schemas.openxmlformats.org/officeDocument/2006/relationships/drawing" Target="../drawings/drawing3.xml"/><Relationship Id="rId7" Type="http://schemas.openxmlformats.org/officeDocument/2006/relationships/hyperlink" Target="https://drive.google.com/file/d/1b8c0IpZxP8_gWSJDCBYMnquIE-1MF8iK/view?usp=drivesdk" TargetMode="External"/><Relationship Id="rId145" Type="http://schemas.openxmlformats.org/officeDocument/2006/relationships/hyperlink" Target="https://drive.google.com/file/d/1jTDkkemSwFlR8H5Z3T1zwQ_VVSwMDeU7/view?usp=drivesdk" TargetMode="External"/><Relationship Id="rId8" Type="http://schemas.openxmlformats.org/officeDocument/2006/relationships/hyperlink" Target="https://drive.google.com/file/d/1YyX6YVuypNttgooYvYwhWIrZkLMy0ndT/view?usp=drivesdk" TargetMode="External"/><Relationship Id="rId144" Type="http://schemas.openxmlformats.org/officeDocument/2006/relationships/hyperlink" Target="https://drive.google.com/file/d/1GjSN9hEiNqYgg9NHHRpH7bg6qSM-JVUG/view?usp=drivesdk" TargetMode="External"/><Relationship Id="rId73" Type="http://schemas.openxmlformats.org/officeDocument/2006/relationships/hyperlink" Target="https://drive.google.com/file/d/1sXu2iXxNmDK22Emyt5tZk7RVH6zcfAUm/view?usp=drivesdk" TargetMode="External"/><Relationship Id="rId72" Type="http://schemas.openxmlformats.org/officeDocument/2006/relationships/hyperlink" Target="https://drive.google.com/file/d/1aoURSvsjq4eOSUg6dYaaFStD2Colp4M_/view?usp=drivesdk" TargetMode="External"/><Relationship Id="rId75" Type="http://schemas.openxmlformats.org/officeDocument/2006/relationships/hyperlink" Target="https://drive.google.com/file/d/11d1IFhSB4mbYzI2H8jGaNKC5pBZXhnLr/view?usp=drivesdk" TargetMode="External"/><Relationship Id="rId74" Type="http://schemas.openxmlformats.org/officeDocument/2006/relationships/hyperlink" Target="https://drive.google.com/file/d/1IcGs-rZIpwSuj6JKDzgd1p3irU6XIMvC/view?usp=drivesdk" TargetMode="External"/><Relationship Id="rId77" Type="http://schemas.openxmlformats.org/officeDocument/2006/relationships/hyperlink" Target="https://drive.google.com/file/d/1nAARXhL1QLLmbY4KwDKXMIk08ypZ5YAS/view?usp=drivesdk" TargetMode="External"/><Relationship Id="rId76" Type="http://schemas.openxmlformats.org/officeDocument/2006/relationships/hyperlink" Target="https://drive.google.com/file/d/1rGWieWl2yXsAf8NV0T_j4k1jQvkB1y5x/view?usp=drivesdk" TargetMode="External"/><Relationship Id="rId79" Type="http://schemas.openxmlformats.org/officeDocument/2006/relationships/hyperlink" Target="https://drive.google.com/file/d/1gueIick1f_Z80bv8QHqJHlhtgnBOuFMm/view?usp=drivesdk" TargetMode="External"/><Relationship Id="rId78" Type="http://schemas.openxmlformats.org/officeDocument/2006/relationships/hyperlink" Target="https://drive.google.com/file/d/1A4llU2AsySrZgimkrl6cXuPwY2wpAQaw/view?usp=drivesdk" TargetMode="External"/><Relationship Id="rId71" Type="http://schemas.openxmlformats.org/officeDocument/2006/relationships/hyperlink" Target="https://drive.google.com/file/d/1gpq8ed0RgW6r1PZQm2ZvlTpVlslDVtci/view?usp=drivesdk" TargetMode="External"/><Relationship Id="rId70" Type="http://schemas.openxmlformats.org/officeDocument/2006/relationships/hyperlink" Target="https://drive.google.com/file/d/1H2VnP3SBiDd4khA_Tzqy_J3RJ_7Ac9ph/view?usp=drivesdk" TargetMode="External"/><Relationship Id="rId139" Type="http://schemas.openxmlformats.org/officeDocument/2006/relationships/hyperlink" Target="https://drive.google.com/file/d/1MxeQMDmbBnB37ZuWyEIp0sr7tyWWQR72/view?usp=drivesdk" TargetMode="External"/><Relationship Id="rId138" Type="http://schemas.openxmlformats.org/officeDocument/2006/relationships/hyperlink" Target="https://drive.google.com/file/d/1Y6mlaWNBVhNUmhLIjk1QBz1-B88IWxKl/view?usp=drivesdk" TargetMode="External"/><Relationship Id="rId137" Type="http://schemas.openxmlformats.org/officeDocument/2006/relationships/hyperlink" Target="https://drive.google.com/file/d/1y9P0QXMHs16qdp6qdf4NEYeVrcJGLTZD/view?usp=drivesdk" TargetMode="External"/><Relationship Id="rId132" Type="http://schemas.openxmlformats.org/officeDocument/2006/relationships/hyperlink" Target="https://drive.google.com/file/d/1-axcV5W4-rj4bf3YFqie5TNS_BT_u7pF/view?usp=drivesdk" TargetMode="External"/><Relationship Id="rId131" Type="http://schemas.openxmlformats.org/officeDocument/2006/relationships/hyperlink" Target="https://drive.google.com/file/d/1kWKH-bT3YyQ-z1NKhk1MIUCQ8AzHKWQf/view?usp=drivesdk" TargetMode="External"/><Relationship Id="rId130" Type="http://schemas.openxmlformats.org/officeDocument/2006/relationships/hyperlink" Target="https://drive.google.com/file/d/1w3yn26EnRqkARY_WPDPIKf5ViDZlorM7/view?usp=drivesdk" TargetMode="External"/><Relationship Id="rId136" Type="http://schemas.openxmlformats.org/officeDocument/2006/relationships/hyperlink" Target="https://drive.google.com/file/d/1Arx20se-PXykLw2p43E0f_yZtVxWcFHr/view?usp=drivesdk" TargetMode="External"/><Relationship Id="rId135" Type="http://schemas.openxmlformats.org/officeDocument/2006/relationships/hyperlink" Target="https://drive.google.com/file/d/1n0NOgd25qrGCnhgAClRyWoWGTm1BtYMd/view?usp=drivesdk" TargetMode="External"/><Relationship Id="rId134" Type="http://schemas.openxmlformats.org/officeDocument/2006/relationships/hyperlink" Target="https://drive.google.com/file/d/1RKCHxDI0NGYu5l_9R4yWno9ra-RuzPaq/view?usp=drivesdk" TargetMode="External"/><Relationship Id="rId133" Type="http://schemas.openxmlformats.org/officeDocument/2006/relationships/hyperlink" Target="https://drive.google.com/file/d/1g_VPJ76gCOxSQc5N_K99ZZYdONqP_Aop/view?usp=drivesdk" TargetMode="External"/><Relationship Id="rId62" Type="http://schemas.openxmlformats.org/officeDocument/2006/relationships/hyperlink" Target="https://drive.google.com/file/d/1HsTjpa3KRwKHaHTfVv0KhY7bMBohKoRo/view?usp=drivesdk" TargetMode="External"/><Relationship Id="rId61" Type="http://schemas.openxmlformats.org/officeDocument/2006/relationships/hyperlink" Target="https://drive.google.com/file/d/1PYWhmkvvnV4VrqIb9csZN5dBLW_vntRf/view?usp=drivesdk" TargetMode="External"/><Relationship Id="rId64" Type="http://schemas.openxmlformats.org/officeDocument/2006/relationships/hyperlink" Target="https://drive.google.com/file/d/1CGxCahufxlu-fwP0ufGpgKNwmitYQs83/view?usp=drivesdk" TargetMode="External"/><Relationship Id="rId63" Type="http://schemas.openxmlformats.org/officeDocument/2006/relationships/hyperlink" Target="https://drive.google.com/file/d/1UCGlUxgKqxHaCEqIbjIJAZ--Q4A5uReI/view?usp=drivesdk" TargetMode="External"/><Relationship Id="rId66" Type="http://schemas.openxmlformats.org/officeDocument/2006/relationships/hyperlink" Target="https://drive.google.com/file/d/1kLAdU6n7vbmCEEgnqaB-QJMJZe4BcpRY/view?usp=drivesdk" TargetMode="External"/><Relationship Id="rId65" Type="http://schemas.openxmlformats.org/officeDocument/2006/relationships/hyperlink" Target="https://drive.google.com/file/d/1_6PurqmfVZHBARLudpl25OyFvgFkF07V/view?usp=drivesdk" TargetMode="External"/><Relationship Id="rId68" Type="http://schemas.openxmlformats.org/officeDocument/2006/relationships/hyperlink" Target="https://drive.google.com/file/d/1sj0XbjAkCQazqAkruUQaht95pJmnLIaI/view?usp=drivesdk" TargetMode="External"/><Relationship Id="rId67" Type="http://schemas.openxmlformats.org/officeDocument/2006/relationships/hyperlink" Target="https://drive.google.com/file/d/1vCckiqIX4RHVVdbsSR1qE86r3_Co2adB/view?usp=drivesdk" TargetMode="External"/><Relationship Id="rId60" Type="http://schemas.openxmlformats.org/officeDocument/2006/relationships/hyperlink" Target="https://drive.google.com/file/d/1IJjctqCk0Ylw7LzkaBJUIOv1Gd4cRBOu/view?usp=drivesdk" TargetMode="External"/><Relationship Id="rId69" Type="http://schemas.openxmlformats.org/officeDocument/2006/relationships/hyperlink" Target="https://drive.google.com/file/d/1V9brQRZdC5KaPaAUMG1PxDyb1J3dg8s3/view?usp=drivesdk" TargetMode="External"/><Relationship Id="rId51" Type="http://schemas.openxmlformats.org/officeDocument/2006/relationships/hyperlink" Target="https://drive.google.com/file/d/1rwSf5O8Ov4qqCVc7atOG3KRHeh4epYYh/view?usp=drivesdk" TargetMode="External"/><Relationship Id="rId50" Type="http://schemas.openxmlformats.org/officeDocument/2006/relationships/hyperlink" Target="https://drive.google.com/file/d/1wrnJ5svNg6PsVF8qfS8kggO3XwqEgRPM/view?usp=drivesdk" TargetMode="External"/><Relationship Id="rId53" Type="http://schemas.openxmlformats.org/officeDocument/2006/relationships/hyperlink" Target="https://drive.google.com/file/d/1WkV44I1DKhdLji0goOCYka9Ysbtzgyej/view?usp=drivesdk" TargetMode="External"/><Relationship Id="rId52" Type="http://schemas.openxmlformats.org/officeDocument/2006/relationships/hyperlink" Target="https://drive.google.com/file/d/1K99CaEMNDLbi38HZbdqk9zeKUxO0XppF/view?usp=drivesdk" TargetMode="External"/><Relationship Id="rId55" Type="http://schemas.openxmlformats.org/officeDocument/2006/relationships/hyperlink" Target="https://drive.google.com/file/d/1gLLZ6xsqFjubDdGjsHnW0U3PGAMsAB4g/view?usp=drivesdk" TargetMode="External"/><Relationship Id="rId54" Type="http://schemas.openxmlformats.org/officeDocument/2006/relationships/hyperlink" Target="https://drive.google.com/file/d/12L9akem-7Cwi4WG9UcaryHrBk0Yds-zU/view?usp=drivesdk" TargetMode="External"/><Relationship Id="rId57" Type="http://schemas.openxmlformats.org/officeDocument/2006/relationships/hyperlink" Target="https://drive.google.com/file/d/1sZ0yqYoVuCuKuUIMZqHl4yCoi3BoO2It/view?usp=drivesdk" TargetMode="External"/><Relationship Id="rId56" Type="http://schemas.openxmlformats.org/officeDocument/2006/relationships/hyperlink" Target="https://drive.google.com/file/d/1OaZhAHjOFWAUq8vbY-VeHbXnxtFJStJO/view?usp=drivesdk" TargetMode="External"/><Relationship Id="rId59" Type="http://schemas.openxmlformats.org/officeDocument/2006/relationships/hyperlink" Target="https://drive.google.com/file/d/1x3KUyQMsWMgT5UN-FE-Y_7YZsqXFgAXy/view?usp=drivesdk" TargetMode="External"/><Relationship Id="rId58" Type="http://schemas.openxmlformats.org/officeDocument/2006/relationships/hyperlink" Target="https://drive.google.com/file/d/1utKtAA_gJ1mcXa-KlcaCWoQHeROTHJVb/view?usp=drivesd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20.0"/>
    <col customWidth="1" min="3" max="3" width="19.0"/>
    <col customWidth="1" min="4" max="4" width="71.25"/>
    <col customWidth="1" min="5" max="5" width="28.88"/>
    <col customWidth="1" min="6" max="6" width="39.13"/>
    <col customWidth="1" min="7" max="7" width="68.38"/>
    <col customWidth="1" min="8" max="8" width="94.5"/>
  </cols>
  <sheetData>
    <row r="1" ht="33.0" customHeight="1">
      <c r="A1" s="1" t="s">
        <v>0</v>
      </c>
      <c r="B1" s="1" t="s">
        <v>1</v>
      </c>
      <c r="C1" s="1" t="s">
        <v>2</v>
      </c>
      <c r="D1" s="2" t="s">
        <v>3</v>
      </c>
      <c r="E1" s="1" t="s">
        <v>4</v>
      </c>
      <c r="F1" s="1" t="s">
        <v>5</v>
      </c>
      <c r="G1" s="2" t="s">
        <v>6</v>
      </c>
      <c r="H1" s="2" t="s">
        <v>7</v>
      </c>
    </row>
    <row r="2" ht="22.5" customHeight="1">
      <c r="A2" s="3">
        <v>1.0</v>
      </c>
      <c r="B2" s="4">
        <v>46058.0</v>
      </c>
      <c r="C2" s="3" t="s">
        <v>8</v>
      </c>
      <c r="D2" s="5" t="s">
        <v>9</v>
      </c>
      <c r="E2" s="3" t="s">
        <v>10</v>
      </c>
      <c r="F2" s="3">
        <v>86.0</v>
      </c>
      <c r="G2" s="6"/>
      <c r="H2" s="7" t="s">
        <v>11</v>
      </c>
      <c r="I2" s="8"/>
    </row>
    <row r="3" ht="22.5" customHeight="1">
      <c r="A3" s="3">
        <v>2.0</v>
      </c>
      <c r="B3" s="4">
        <v>46059.0</v>
      </c>
      <c r="C3" s="3" t="s">
        <v>12</v>
      </c>
      <c r="D3" s="5" t="s">
        <v>13</v>
      </c>
      <c r="E3" s="3" t="s">
        <v>14</v>
      </c>
      <c r="F3" s="3">
        <v>120.0</v>
      </c>
      <c r="G3" s="9" t="s">
        <v>15</v>
      </c>
      <c r="H3" s="7" t="s">
        <v>16</v>
      </c>
      <c r="I3" s="10">
        <f>AVERAGE(F2:F41)</f>
        <v>59.125</v>
      </c>
    </row>
    <row r="4" ht="22.5" customHeight="1">
      <c r="A4" s="3">
        <v>3.0</v>
      </c>
      <c r="B4" s="4">
        <v>46059.0</v>
      </c>
      <c r="C4" s="3" t="s">
        <v>17</v>
      </c>
      <c r="D4" s="5" t="s">
        <v>18</v>
      </c>
      <c r="E4" s="3" t="s">
        <v>19</v>
      </c>
      <c r="F4" s="3">
        <v>77.0</v>
      </c>
      <c r="G4" s="9" t="s">
        <v>20</v>
      </c>
      <c r="H4" s="11" t="s">
        <v>21</v>
      </c>
      <c r="I4" s="8"/>
    </row>
    <row r="5" ht="34.5" customHeight="1">
      <c r="A5" s="3">
        <v>4.0</v>
      </c>
      <c r="B5" s="4">
        <v>46058.0</v>
      </c>
      <c r="C5" s="3" t="s">
        <v>17</v>
      </c>
      <c r="D5" s="5" t="s">
        <v>22</v>
      </c>
      <c r="E5" s="3" t="s">
        <v>23</v>
      </c>
      <c r="F5" s="3">
        <v>124.0</v>
      </c>
      <c r="G5" s="9" t="s">
        <v>24</v>
      </c>
      <c r="H5" s="7" t="s">
        <v>25</v>
      </c>
      <c r="I5" s="8"/>
    </row>
    <row r="6" ht="22.5" customHeight="1">
      <c r="A6" s="3">
        <v>5.0</v>
      </c>
      <c r="B6" s="4">
        <v>46059.0</v>
      </c>
      <c r="C6" s="3" t="s">
        <v>12</v>
      </c>
      <c r="D6" s="5" t="s">
        <v>13</v>
      </c>
      <c r="E6" s="3" t="s">
        <v>14</v>
      </c>
      <c r="F6" s="3">
        <v>84.0</v>
      </c>
      <c r="G6" s="9" t="s">
        <v>26</v>
      </c>
      <c r="H6" s="7" t="s">
        <v>27</v>
      </c>
      <c r="I6" s="8"/>
    </row>
    <row r="7" ht="22.5" customHeight="1">
      <c r="A7" s="3">
        <v>6.0</v>
      </c>
      <c r="B7" s="4">
        <v>46059.0</v>
      </c>
      <c r="C7" s="3" t="s">
        <v>28</v>
      </c>
      <c r="D7" s="5" t="s">
        <v>29</v>
      </c>
      <c r="E7" s="3" t="s">
        <v>30</v>
      </c>
      <c r="F7" s="3">
        <v>7.0</v>
      </c>
      <c r="G7" s="9" t="s">
        <v>31</v>
      </c>
      <c r="H7" s="7" t="s">
        <v>32</v>
      </c>
      <c r="I7" s="8"/>
    </row>
    <row r="8" ht="22.5" customHeight="1">
      <c r="A8" s="3">
        <v>7.0</v>
      </c>
      <c r="B8" s="4">
        <v>46060.0</v>
      </c>
      <c r="C8" s="3" t="s">
        <v>12</v>
      </c>
      <c r="D8" s="5" t="s">
        <v>33</v>
      </c>
      <c r="E8" s="3" t="s">
        <v>34</v>
      </c>
      <c r="F8" s="3">
        <v>30.0</v>
      </c>
      <c r="G8" s="9" t="s">
        <v>35</v>
      </c>
      <c r="H8" s="7" t="s">
        <v>36</v>
      </c>
      <c r="I8" s="8"/>
    </row>
    <row r="9" ht="22.5" customHeight="1">
      <c r="A9" s="3">
        <v>8.0</v>
      </c>
      <c r="B9" s="4">
        <v>46060.0</v>
      </c>
      <c r="C9" s="3" t="s">
        <v>8</v>
      </c>
      <c r="D9" s="5" t="s">
        <v>33</v>
      </c>
      <c r="E9" s="3" t="s">
        <v>34</v>
      </c>
      <c r="F9" s="3">
        <v>47.0</v>
      </c>
      <c r="G9" s="6"/>
      <c r="H9" s="7" t="s">
        <v>37</v>
      </c>
      <c r="I9" s="8"/>
    </row>
    <row r="10" ht="22.5" customHeight="1">
      <c r="A10" s="3">
        <v>9.0</v>
      </c>
      <c r="B10" s="4">
        <v>46060.0</v>
      </c>
      <c r="C10" s="3" t="s">
        <v>8</v>
      </c>
      <c r="D10" s="5" t="s">
        <v>38</v>
      </c>
      <c r="E10" s="3" t="s">
        <v>39</v>
      </c>
      <c r="F10" s="3">
        <v>62.0</v>
      </c>
      <c r="G10" s="6"/>
      <c r="H10" s="7" t="s">
        <v>40</v>
      </c>
      <c r="I10" s="8"/>
    </row>
    <row r="11" ht="22.5" customHeight="1">
      <c r="A11" s="3">
        <v>10.0</v>
      </c>
      <c r="B11" s="4">
        <v>46060.0</v>
      </c>
      <c r="C11" s="3" t="s">
        <v>17</v>
      </c>
      <c r="D11" s="5" t="s">
        <v>41</v>
      </c>
      <c r="E11" s="3" t="s">
        <v>19</v>
      </c>
      <c r="F11" s="3">
        <v>140.0</v>
      </c>
      <c r="G11" s="9" t="s">
        <v>42</v>
      </c>
      <c r="H11" s="7" t="s">
        <v>43</v>
      </c>
      <c r="I11" s="8"/>
    </row>
    <row r="12" ht="22.5" customHeight="1">
      <c r="A12" s="3">
        <v>11.0</v>
      </c>
      <c r="B12" s="4">
        <v>46060.0</v>
      </c>
      <c r="C12" s="3" t="s">
        <v>28</v>
      </c>
      <c r="D12" s="5" t="s">
        <v>29</v>
      </c>
      <c r="E12" s="3" t="s">
        <v>30</v>
      </c>
      <c r="F12" s="3">
        <v>25.0</v>
      </c>
      <c r="G12" s="9" t="s">
        <v>44</v>
      </c>
      <c r="H12" s="7" t="s">
        <v>45</v>
      </c>
      <c r="I12" s="8"/>
    </row>
    <row r="13" ht="22.5" customHeight="1">
      <c r="A13" s="3">
        <v>12.0</v>
      </c>
      <c r="B13" s="4">
        <v>46062.0</v>
      </c>
      <c r="C13" s="3" t="s">
        <v>17</v>
      </c>
      <c r="D13" s="5" t="s">
        <v>46</v>
      </c>
      <c r="E13" s="3" t="s">
        <v>47</v>
      </c>
      <c r="F13" s="3">
        <v>91.0</v>
      </c>
      <c r="G13" s="6"/>
      <c r="H13" s="7" t="s">
        <v>48</v>
      </c>
      <c r="I13" s="8"/>
    </row>
    <row r="14" ht="22.5" customHeight="1">
      <c r="A14" s="3">
        <v>13.0</v>
      </c>
      <c r="B14" s="4">
        <v>46062.0</v>
      </c>
      <c r="C14" s="3" t="s">
        <v>8</v>
      </c>
      <c r="D14" s="5" t="s">
        <v>49</v>
      </c>
      <c r="E14" s="3" t="s">
        <v>50</v>
      </c>
      <c r="F14" s="3">
        <v>160.0</v>
      </c>
      <c r="G14" s="6"/>
      <c r="H14" s="7" t="s">
        <v>51</v>
      </c>
      <c r="I14" s="8"/>
    </row>
    <row r="15" ht="22.5" customHeight="1">
      <c r="A15" s="3">
        <v>14.0</v>
      </c>
      <c r="B15" s="4">
        <v>46063.0</v>
      </c>
      <c r="C15" s="3" t="s">
        <v>8</v>
      </c>
      <c r="D15" s="5" t="s">
        <v>49</v>
      </c>
      <c r="E15" s="3" t="s">
        <v>50</v>
      </c>
      <c r="F15" s="3">
        <v>27.0</v>
      </c>
      <c r="G15" s="6"/>
      <c r="H15" s="7" t="s">
        <v>52</v>
      </c>
      <c r="I15" s="8"/>
    </row>
    <row r="16" ht="22.5" customHeight="1">
      <c r="A16" s="3">
        <v>15.0</v>
      </c>
      <c r="B16" s="4">
        <v>46063.0</v>
      </c>
      <c r="C16" s="3" t="s">
        <v>8</v>
      </c>
      <c r="D16" s="5" t="s">
        <v>53</v>
      </c>
      <c r="E16" s="3" t="s">
        <v>10</v>
      </c>
      <c r="F16" s="3">
        <v>25.0</v>
      </c>
      <c r="G16" s="6"/>
      <c r="H16" s="7" t="s">
        <v>54</v>
      </c>
      <c r="I16" s="8"/>
    </row>
    <row r="17" ht="22.5" customHeight="1">
      <c r="A17" s="3">
        <v>16.0</v>
      </c>
      <c r="B17" s="4">
        <v>46064.0</v>
      </c>
      <c r="C17" s="3" t="s">
        <v>8</v>
      </c>
      <c r="D17" s="5" t="s">
        <v>55</v>
      </c>
      <c r="E17" s="3" t="s">
        <v>56</v>
      </c>
      <c r="F17" s="3">
        <v>79.0</v>
      </c>
      <c r="G17" s="6"/>
      <c r="H17" s="7" t="s">
        <v>57</v>
      </c>
      <c r="I17" s="8"/>
    </row>
    <row r="18" ht="22.5" customHeight="1">
      <c r="A18" s="3">
        <v>17.0</v>
      </c>
      <c r="B18" s="4">
        <v>46065.0</v>
      </c>
      <c r="C18" s="3" t="s">
        <v>8</v>
      </c>
      <c r="D18" s="5" t="s">
        <v>58</v>
      </c>
      <c r="E18" s="3" t="s">
        <v>10</v>
      </c>
      <c r="F18" s="3">
        <v>70.0</v>
      </c>
      <c r="G18" s="6"/>
      <c r="H18" s="6"/>
      <c r="I18" s="8"/>
    </row>
    <row r="19" ht="22.5" customHeight="1">
      <c r="A19" s="3">
        <v>18.0</v>
      </c>
      <c r="B19" s="4">
        <v>46066.0</v>
      </c>
      <c r="C19" s="3" t="s">
        <v>8</v>
      </c>
      <c r="D19" s="5" t="s">
        <v>58</v>
      </c>
      <c r="E19" s="3" t="s">
        <v>10</v>
      </c>
      <c r="F19" s="3">
        <v>70.0</v>
      </c>
      <c r="G19" s="9" t="s">
        <v>59</v>
      </c>
      <c r="H19" s="7" t="s">
        <v>60</v>
      </c>
      <c r="I19" s="8"/>
    </row>
    <row r="20" ht="22.5" customHeight="1">
      <c r="A20" s="3">
        <v>19.0</v>
      </c>
      <c r="B20" s="4">
        <v>46060.0</v>
      </c>
      <c r="C20" s="3" t="s">
        <v>12</v>
      </c>
      <c r="D20" s="5" t="s">
        <v>29</v>
      </c>
      <c r="E20" s="3" t="s">
        <v>30</v>
      </c>
      <c r="F20" s="3">
        <v>40.0</v>
      </c>
      <c r="G20" s="6"/>
      <c r="H20" s="7" t="s">
        <v>61</v>
      </c>
      <c r="I20" s="8"/>
    </row>
    <row r="21" ht="22.5" customHeight="1">
      <c r="A21" s="3">
        <v>20.0</v>
      </c>
      <c r="B21" s="4">
        <v>46062.0</v>
      </c>
      <c r="C21" s="3" t="s">
        <v>12</v>
      </c>
      <c r="D21" s="5" t="s">
        <v>46</v>
      </c>
      <c r="E21" s="3" t="s">
        <v>47</v>
      </c>
      <c r="F21" s="3">
        <v>99.0</v>
      </c>
      <c r="G21" s="6"/>
      <c r="H21" s="7" t="s">
        <v>62</v>
      </c>
      <c r="I21" s="8"/>
    </row>
    <row r="22" ht="22.5" customHeight="1">
      <c r="A22" s="3">
        <v>21.0</v>
      </c>
      <c r="B22" s="4">
        <v>46063.0</v>
      </c>
      <c r="C22" s="3" t="s">
        <v>12</v>
      </c>
      <c r="D22" s="5" t="s">
        <v>63</v>
      </c>
      <c r="E22" s="3" t="s">
        <v>10</v>
      </c>
      <c r="F22" s="3">
        <v>33.0</v>
      </c>
      <c r="G22" s="6"/>
      <c r="H22" s="7" t="s">
        <v>64</v>
      </c>
      <c r="I22" s="8"/>
    </row>
    <row r="23" ht="22.5" customHeight="1">
      <c r="A23" s="3">
        <v>22.0</v>
      </c>
      <c r="B23" s="4">
        <v>46065.0</v>
      </c>
      <c r="C23" s="3" t="s">
        <v>12</v>
      </c>
      <c r="D23" s="5" t="s">
        <v>65</v>
      </c>
      <c r="E23" s="3" t="s">
        <v>10</v>
      </c>
      <c r="F23" s="3">
        <v>55.0</v>
      </c>
      <c r="G23" s="6"/>
      <c r="H23" s="7" t="s">
        <v>66</v>
      </c>
      <c r="I23" s="8"/>
    </row>
    <row r="24" ht="22.5" customHeight="1">
      <c r="A24" s="3">
        <v>23.0</v>
      </c>
      <c r="B24" s="4">
        <v>46064.0</v>
      </c>
      <c r="C24" s="3" t="s">
        <v>12</v>
      </c>
      <c r="D24" s="5" t="s">
        <v>65</v>
      </c>
      <c r="E24" s="3" t="s">
        <v>10</v>
      </c>
      <c r="F24" s="3">
        <v>47.0</v>
      </c>
      <c r="G24" s="6"/>
      <c r="H24" s="7" t="s">
        <v>67</v>
      </c>
      <c r="I24" s="8"/>
    </row>
    <row r="25" ht="22.5" customHeight="1">
      <c r="A25" s="3">
        <v>24.0</v>
      </c>
      <c r="B25" s="4">
        <v>46064.0</v>
      </c>
      <c r="C25" s="3" t="s">
        <v>12</v>
      </c>
      <c r="D25" s="5" t="s">
        <v>68</v>
      </c>
      <c r="E25" s="3" t="s">
        <v>56</v>
      </c>
      <c r="F25" s="3">
        <v>109.0</v>
      </c>
      <c r="G25" s="6"/>
      <c r="H25" s="7" t="s">
        <v>69</v>
      </c>
      <c r="I25" s="8"/>
    </row>
    <row r="26" ht="22.5" customHeight="1">
      <c r="A26" s="3">
        <v>25.0</v>
      </c>
      <c r="B26" s="4">
        <v>46067.0</v>
      </c>
      <c r="C26" s="3" t="s">
        <v>12</v>
      </c>
      <c r="D26" s="5" t="s">
        <v>70</v>
      </c>
      <c r="E26" s="3" t="s">
        <v>30</v>
      </c>
      <c r="F26" s="3">
        <v>71.0</v>
      </c>
      <c r="G26" s="6"/>
      <c r="H26" s="7" t="s">
        <v>71</v>
      </c>
      <c r="I26" s="8"/>
    </row>
    <row r="27" ht="22.5" customHeight="1">
      <c r="A27" s="3">
        <v>26.0</v>
      </c>
      <c r="B27" s="4">
        <v>46069.0</v>
      </c>
      <c r="C27" s="3" t="s">
        <v>12</v>
      </c>
      <c r="D27" s="5" t="s">
        <v>72</v>
      </c>
      <c r="E27" s="3" t="s">
        <v>47</v>
      </c>
      <c r="F27" s="3">
        <v>21.0</v>
      </c>
      <c r="G27" s="9" t="s">
        <v>73</v>
      </c>
      <c r="H27" s="7" t="s">
        <v>74</v>
      </c>
      <c r="I27" s="8"/>
    </row>
    <row r="28" ht="22.5" customHeight="1">
      <c r="A28" s="3">
        <v>27.0</v>
      </c>
      <c r="B28" s="4">
        <v>46070.0</v>
      </c>
      <c r="C28" s="3" t="s">
        <v>12</v>
      </c>
      <c r="D28" s="5" t="s">
        <v>75</v>
      </c>
      <c r="E28" s="3" t="s">
        <v>76</v>
      </c>
      <c r="F28" s="3">
        <v>3.0</v>
      </c>
      <c r="G28" s="9" t="s">
        <v>77</v>
      </c>
      <c r="H28" s="7" t="s">
        <v>78</v>
      </c>
      <c r="I28" s="8"/>
    </row>
    <row r="29" ht="22.5" customHeight="1">
      <c r="A29" s="3">
        <v>28.0</v>
      </c>
      <c r="B29" s="4">
        <v>46071.0</v>
      </c>
      <c r="C29" s="3" t="s">
        <v>8</v>
      </c>
      <c r="D29" s="5" t="s">
        <v>79</v>
      </c>
      <c r="E29" s="3" t="s">
        <v>47</v>
      </c>
      <c r="F29" s="3">
        <v>32.0</v>
      </c>
      <c r="G29" s="6"/>
      <c r="H29" s="7" t="s">
        <v>80</v>
      </c>
      <c r="I29" s="8"/>
    </row>
    <row r="30" ht="22.5" customHeight="1">
      <c r="A30" s="3">
        <v>29.0</v>
      </c>
      <c r="B30" s="4">
        <v>46069.0</v>
      </c>
      <c r="C30" s="3" t="s">
        <v>8</v>
      </c>
      <c r="D30" s="5" t="s">
        <v>79</v>
      </c>
      <c r="E30" s="3" t="s">
        <v>47</v>
      </c>
      <c r="F30" s="3">
        <v>73.0</v>
      </c>
      <c r="G30" s="6"/>
      <c r="H30" s="7" t="s">
        <v>81</v>
      </c>
      <c r="I30" s="8"/>
    </row>
    <row r="31" ht="22.5" customHeight="1">
      <c r="A31" s="3">
        <v>30.0</v>
      </c>
      <c r="B31" s="4">
        <v>46069.0</v>
      </c>
      <c r="C31" s="3" t="s">
        <v>8</v>
      </c>
      <c r="D31" s="5" t="s">
        <v>82</v>
      </c>
      <c r="E31" s="3" t="s">
        <v>14</v>
      </c>
      <c r="F31" s="3">
        <v>25.0</v>
      </c>
      <c r="G31" s="6"/>
      <c r="H31" s="7" t="s">
        <v>83</v>
      </c>
      <c r="I31" s="8"/>
    </row>
    <row r="32" ht="22.5" customHeight="1">
      <c r="A32" s="3">
        <v>31.0</v>
      </c>
      <c r="B32" s="4">
        <v>46072.0</v>
      </c>
      <c r="C32" s="3" t="s">
        <v>12</v>
      </c>
      <c r="D32" s="5" t="s">
        <v>84</v>
      </c>
      <c r="E32" s="3" t="s">
        <v>14</v>
      </c>
      <c r="F32" s="3">
        <v>50.0</v>
      </c>
      <c r="G32" s="9" t="s">
        <v>85</v>
      </c>
      <c r="H32" s="7" t="s">
        <v>86</v>
      </c>
      <c r="I32" s="8"/>
    </row>
    <row r="33" ht="22.5" customHeight="1">
      <c r="A33" s="3">
        <v>32.0</v>
      </c>
      <c r="B33" s="4">
        <v>46072.0</v>
      </c>
      <c r="C33" s="3" t="s">
        <v>8</v>
      </c>
      <c r="D33" s="5" t="s">
        <v>82</v>
      </c>
      <c r="E33" s="3" t="s">
        <v>14</v>
      </c>
      <c r="F33" s="3">
        <v>50.0</v>
      </c>
      <c r="G33" s="6"/>
      <c r="H33" s="7" t="s">
        <v>87</v>
      </c>
      <c r="I33" s="8"/>
    </row>
    <row r="34" ht="22.5" customHeight="1">
      <c r="A34" s="3">
        <v>33.0</v>
      </c>
      <c r="B34" s="4">
        <v>46072.0</v>
      </c>
      <c r="C34" s="3" t="s">
        <v>8</v>
      </c>
      <c r="D34" s="5" t="s">
        <v>88</v>
      </c>
      <c r="E34" s="3" t="s">
        <v>39</v>
      </c>
      <c r="F34" s="3">
        <v>30.0</v>
      </c>
      <c r="G34" s="6"/>
      <c r="H34" s="7" t="s">
        <v>89</v>
      </c>
      <c r="I34" s="8"/>
    </row>
    <row r="35" ht="22.5" customHeight="1">
      <c r="A35" s="3">
        <v>34.0</v>
      </c>
      <c r="B35" s="4">
        <v>46073.0</v>
      </c>
      <c r="C35" s="3" t="s">
        <v>12</v>
      </c>
      <c r="D35" s="5" t="s">
        <v>90</v>
      </c>
      <c r="E35" s="3" t="s">
        <v>76</v>
      </c>
      <c r="F35" s="3">
        <v>94.0</v>
      </c>
      <c r="G35" s="6"/>
      <c r="H35" s="7" t="s">
        <v>91</v>
      </c>
      <c r="I35" s="8"/>
    </row>
    <row r="36" ht="22.5" customHeight="1">
      <c r="A36" s="3">
        <v>35.0</v>
      </c>
      <c r="B36" s="4">
        <v>46073.0</v>
      </c>
      <c r="C36" s="3" t="s">
        <v>12</v>
      </c>
      <c r="D36" s="5" t="s">
        <v>92</v>
      </c>
      <c r="E36" s="3" t="s">
        <v>30</v>
      </c>
      <c r="F36" s="3">
        <v>38.0</v>
      </c>
      <c r="G36" s="6"/>
      <c r="H36" s="7" t="s">
        <v>93</v>
      </c>
      <c r="I36" s="8"/>
    </row>
    <row r="37" ht="22.5" customHeight="1">
      <c r="A37" s="3">
        <v>36.0</v>
      </c>
      <c r="B37" s="4">
        <v>46073.0</v>
      </c>
      <c r="C37" s="3" t="s">
        <v>17</v>
      </c>
      <c r="D37" s="5" t="s">
        <v>92</v>
      </c>
      <c r="E37" s="3" t="s">
        <v>30</v>
      </c>
      <c r="F37" s="3">
        <v>50.0</v>
      </c>
      <c r="G37" s="6"/>
      <c r="H37" s="7" t="s">
        <v>94</v>
      </c>
      <c r="I37" s="8"/>
    </row>
    <row r="38" ht="22.5" customHeight="1">
      <c r="A38" s="3">
        <v>37.0</v>
      </c>
      <c r="B38" s="4">
        <v>46074.0</v>
      </c>
      <c r="C38" s="3" t="s">
        <v>17</v>
      </c>
      <c r="D38" s="5" t="s">
        <v>95</v>
      </c>
      <c r="E38" s="3" t="s">
        <v>96</v>
      </c>
      <c r="F38" s="3">
        <v>14.0</v>
      </c>
      <c r="G38" s="6"/>
      <c r="H38" s="7" t="s">
        <v>97</v>
      </c>
      <c r="I38" s="8"/>
    </row>
    <row r="39" ht="22.5" customHeight="1">
      <c r="A39" s="3">
        <v>38.0</v>
      </c>
      <c r="B39" s="4">
        <v>46074.0</v>
      </c>
      <c r="C39" s="3" t="s">
        <v>17</v>
      </c>
      <c r="D39" s="5" t="s">
        <v>98</v>
      </c>
      <c r="E39" s="3" t="s">
        <v>99</v>
      </c>
      <c r="F39" s="3">
        <v>35.0</v>
      </c>
      <c r="G39" s="9" t="s">
        <v>100</v>
      </c>
      <c r="H39" s="7" t="s">
        <v>101</v>
      </c>
      <c r="I39" s="8"/>
    </row>
    <row r="40" ht="22.5" customHeight="1">
      <c r="A40" s="3">
        <v>39.0</v>
      </c>
      <c r="B40" s="4">
        <v>46076.0</v>
      </c>
      <c r="C40" s="3" t="s">
        <v>12</v>
      </c>
      <c r="D40" s="5" t="s">
        <v>102</v>
      </c>
      <c r="E40" s="3" t="s">
        <v>99</v>
      </c>
      <c r="F40" s="3">
        <v>25.0</v>
      </c>
      <c r="G40" s="9" t="s">
        <v>103</v>
      </c>
      <c r="H40" s="7" t="s">
        <v>104</v>
      </c>
      <c r="I40" s="8"/>
    </row>
    <row r="41" ht="22.5" customHeight="1">
      <c r="A41" s="3">
        <v>40.0</v>
      </c>
      <c r="B41" s="4">
        <v>46074.0</v>
      </c>
      <c r="C41" s="3" t="s">
        <v>8</v>
      </c>
      <c r="D41" s="5" t="s">
        <v>105</v>
      </c>
      <c r="E41" s="3"/>
      <c r="F41" s="3">
        <v>47.0</v>
      </c>
      <c r="G41" s="6"/>
      <c r="H41" s="7" t="s">
        <v>106</v>
      </c>
      <c r="I41" s="8"/>
    </row>
    <row r="42" ht="22.5" customHeight="1">
      <c r="A42" s="3">
        <v>41.0</v>
      </c>
      <c r="B42" s="4">
        <v>46076.0</v>
      </c>
      <c r="C42" s="3" t="s">
        <v>107</v>
      </c>
      <c r="D42" s="5" t="s">
        <v>108</v>
      </c>
      <c r="E42" s="3" t="s">
        <v>19</v>
      </c>
      <c r="F42" s="3">
        <v>30.0</v>
      </c>
      <c r="G42" s="9" t="s">
        <v>109</v>
      </c>
      <c r="H42" s="7" t="s">
        <v>110</v>
      </c>
      <c r="I42" s="8"/>
    </row>
    <row r="43" ht="22.5" customHeight="1">
      <c r="A43" s="3">
        <v>42.0</v>
      </c>
      <c r="B43" s="4">
        <v>46076.0</v>
      </c>
      <c r="C43" s="3" t="s">
        <v>17</v>
      </c>
      <c r="D43" s="5" t="s">
        <v>111</v>
      </c>
      <c r="E43" s="3" t="s">
        <v>99</v>
      </c>
      <c r="F43" s="3">
        <v>100.0</v>
      </c>
      <c r="G43" s="9" t="s">
        <v>112</v>
      </c>
      <c r="H43" s="7" t="s">
        <v>113</v>
      </c>
      <c r="I43" s="8"/>
    </row>
    <row r="44" ht="22.5" customHeight="1">
      <c r="A44" s="3">
        <v>43.0</v>
      </c>
      <c r="B44" s="4">
        <v>46076.0</v>
      </c>
      <c r="C44" s="3" t="s">
        <v>8</v>
      </c>
      <c r="D44" s="5" t="s">
        <v>114</v>
      </c>
      <c r="E44" s="3" t="s">
        <v>56</v>
      </c>
      <c r="F44" s="3">
        <v>40.0</v>
      </c>
      <c r="G44" s="9" t="s">
        <v>115</v>
      </c>
      <c r="H44" s="7" t="s">
        <v>116</v>
      </c>
      <c r="I44" s="8"/>
    </row>
    <row r="45" ht="22.5" customHeight="1">
      <c r="A45" s="3">
        <v>44.0</v>
      </c>
      <c r="B45" s="4">
        <v>46076.0</v>
      </c>
      <c r="C45" s="3" t="s">
        <v>12</v>
      </c>
      <c r="D45" s="5" t="s">
        <v>102</v>
      </c>
      <c r="E45" s="3" t="s">
        <v>99</v>
      </c>
      <c r="F45" s="3">
        <v>56.0</v>
      </c>
      <c r="G45" s="6"/>
      <c r="H45" s="7" t="s">
        <v>117</v>
      </c>
      <c r="I45" s="8"/>
    </row>
    <row r="46" ht="22.5" customHeight="1">
      <c r="A46" s="3">
        <v>45.0</v>
      </c>
      <c r="B46" s="4">
        <v>46077.0</v>
      </c>
      <c r="C46" s="3" t="s">
        <v>8</v>
      </c>
      <c r="D46" s="5" t="s">
        <v>114</v>
      </c>
      <c r="E46" s="3" t="s">
        <v>56</v>
      </c>
      <c r="F46" s="3">
        <v>52.0</v>
      </c>
      <c r="G46" s="6"/>
      <c r="H46" s="7" t="s">
        <v>118</v>
      </c>
      <c r="I46" s="8"/>
    </row>
    <row r="47" ht="22.5" customHeight="1">
      <c r="A47" s="3">
        <v>46.0</v>
      </c>
      <c r="B47" s="4">
        <v>46077.0</v>
      </c>
      <c r="C47" s="3" t="s">
        <v>17</v>
      </c>
      <c r="D47" s="5" t="s">
        <v>119</v>
      </c>
      <c r="E47" s="3" t="s">
        <v>56</v>
      </c>
      <c r="F47" s="3">
        <v>56.0</v>
      </c>
      <c r="G47" s="6"/>
      <c r="H47" s="7" t="s">
        <v>120</v>
      </c>
      <c r="I47" s="8"/>
    </row>
    <row r="48" ht="22.5" customHeight="1">
      <c r="A48" s="3">
        <v>47.0</v>
      </c>
      <c r="B48" s="4">
        <v>46077.0</v>
      </c>
      <c r="C48" s="3" t="s">
        <v>17</v>
      </c>
      <c r="D48" s="5" t="s">
        <v>111</v>
      </c>
      <c r="E48" s="3" t="s">
        <v>99</v>
      </c>
      <c r="F48" s="3">
        <v>174.0</v>
      </c>
      <c r="G48" s="9" t="s">
        <v>121</v>
      </c>
      <c r="H48" s="7" t="s">
        <v>122</v>
      </c>
      <c r="I48" s="8"/>
    </row>
    <row r="49" ht="22.5" customHeight="1">
      <c r="A49" s="3">
        <v>48.0</v>
      </c>
      <c r="B49" s="4">
        <v>46078.0</v>
      </c>
      <c r="C49" s="3" t="s">
        <v>12</v>
      </c>
      <c r="D49" s="5" t="s">
        <v>123</v>
      </c>
      <c r="E49" s="3" t="s">
        <v>124</v>
      </c>
      <c r="F49" s="3">
        <v>130.0</v>
      </c>
      <c r="G49" s="9" t="s">
        <v>125</v>
      </c>
      <c r="H49" s="7" t="s">
        <v>126</v>
      </c>
      <c r="I49" s="8"/>
    </row>
    <row r="50" ht="22.5" customHeight="1">
      <c r="A50" s="3">
        <v>49.0</v>
      </c>
      <c r="B50" s="4">
        <v>46078.0</v>
      </c>
      <c r="C50" s="3" t="s">
        <v>8</v>
      </c>
      <c r="D50" s="5" t="s">
        <v>119</v>
      </c>
      <c r="E50" s="3" t="s">
        <v>127</v>
      </c>
      <c r="F50" s="3">
        <v>10.0</v>
      </c>
      <c r="G50" s="6"/>
      <c r="H50" s="7" t="s">
        <v>128</v>
      </c>
      <c r="I50" s="8"/>
    </row>
    <row r="51" ht="22.5" customHeight="1">
      <c r="A51" s="3">
        <v>50.0</v>
      </c>
      <c r="B51" s="4">
        <v>46077.0</v>
      </c>
      <c r="C51" s="3" t="s">
        <v>17</v>
      </c>
      <c r="D51" s="5" t="s">
        <v>129</v>
      </c>
      <c r="E51" s="3" t="s">
        <v>130</v>
      </c>
      <c r="F51" s="3">
        <v>100.0</v>
      </c>
      <c r="G51" s="6"/>
      <c r="H51" s="7" t="s">
        <v>131</v>
      </c>
      <c r="I51" s="8"/>
    </row>
    <row r="52" ht="22.5" customHeight="1">
      <c r="A52" s="3">
        <v>51.0</v>
      </c>
      <c r="B52" s="4">
        <v>46078.0</v>
      </c>
      <c r="C52" s="3" t="s">
        <v>12</v>
      </c>
      <c r="D52" s="5" t="s">
        <v>132</v>
      </c>
      <c r="E52" s="3" t="s">
        <v>133</v>
      </c>
      <c r="F52" s="3">
        <v>104.0</v>
      </c>
      <c r="G52" s="6"/>
      <c r="H52" s="7" t="s">
        <v>134</v>
      </c>
      <c r="I52" s="8"/>
    </row>
    <row r="53" ht="22.5" customHeight="1">
      <c r="A53" s="3">
        <v>52.0</v>
      </c>
      <c r="B53" s="4">
        <v>46079.0</v>
      </c>
      <c r="C53" s="3" t="s">
        <v>8</v>
      </c>
      <c r="D53" s="5" t="s">
        <v>95</v>
      </c>
      <c r="E53" s="3" t="s">
        <v>135</v>
      </c>
      <c r="F53" s="3">
        <v>95.0</v>
      </c>
      <c r="G53" s="3"/>
      <c r="H53" s="7" t="s">
        <v>136</v>
      </c>
      <c r="I53" s="8"/>
    </row>
    <row r="54" ht="22.5" customHeight="1">
      <c r="A54" s="3">
        <v>53.0</v>
      </c>
      <c r="B54" s="4">
        <v>46079.0</v>
      </c>
      <c r="C54" s="3" t="s">
        <v>17</v>
      </c>
      <c r="D54" s="5" t="s">
        <v>137</v>
      </c>
      <c r="E54" s="3" t="s">
        <v>138</v>
      </c>
      <c r="F54" s="3">
        <v>120.0</v>
      </c>
      <c r="G54" s="3"/>
      <c r="H54" s="7" t="s">
        <v>139</v>
      </c>
      <c r="I54" s="8"/>
    </row>
    <row r="55" ht="22.5" customHeight="1">
      <c r="A55" s="3">
        <v>54.0</v>
      </c>
      <c r="B55" s="4">
        <v>46079.0</v>
      </c>
      <c r="C55" s="3" t="s">
        <v>12</v>
      </c>
      <c r="D55" s="5" t="s">
        <v>140</v>
      </c>
      <c r="E55" s="3" t="s">
        <v>141</v>
      </c>
      <c r="F55" s="3">
        <v>100.0</v>
      </c>
      <c r="G55" s="12" t="s">
        <v>142</v>
      </c>
      <c r="H55" s="7" t="s">
        <v>143</v>
      </c>
      <c r="I55" s="8"/>
    </row>
    <row r="56" ht="22.5" customHeight="1">
      <c r="A56" s="3">
        <v>55.0</v>
      </c>
      <c r="B56" s="4">
        <v>46080.0</v>
      </c>
      <c r="C56" s="3" t="s">
        <v>12</v>
      </c>
      <c r="D56" s="5" t="s">
        <v>140</v>
      </c>
      <c r="E56" s="3" t="s">
        <v>144</v>
      </c>
      <c r="F56" s="3">
        <v>130.0</v>
      </c>
      <c r="G56" s="12" t="s">
        <v>145</v>
      </c>
      <c r="H56" s="7" t="s">
        <v>146</v>
      </c>
      <c r="I56" s="8"/>
    </row>
    <row r="57" ht="22.5" customHeight="1">
      <c r="A57" s="3">
        <v>56.0</v>
      </c>
      <c r="B57" s="4">
        <v>46079.0</v>
      </c>
      <c r="C57" s="3" t="s">
        <v>17</v>
      </c>
      <c r="D57" s="5" t="s">
        <v>147</v>
      </c>
      <c r="E57" s="3" t="s">
        <v>148</v>
      </c>
      <c r="F57" s="3">
        <v>102.0</v>
      </c>
      <c r="G57" s="3"/>
      <c r="H57" s="7" t="s">
        <v>149</v>
      </c>
      <c r="I57" s="8"/>
    </row>
    <row r="58" ht="22.5" customHeight="1">
      <c r="A58" s="3">
        <v>57.0</v>
      </c>
      <c r="B58" s="4">
        <v>46081.0</v>
      </c>
      <c r="C58" s="3" t="s">
        <v>12</v>
      </c>
      <c r="D58" s="5" t="s">
        <v>150</v>
      </c>
      <c r="E58" s="3" t="s">
        <v>151</v>
      </c>
      <c r="F58" s="3">
        <v>102.0</v>
      </c>
      <c r="G58" s="12" t="s">
        <v>152</v>
      </c>
      <c r="H58" s="7" t="s">
        <v>153</v>
      </c>
      <c r="I58" s="8"/>
    </row>
    <row r="59" ht="22.5" customHeight="1">
      <c r="A59" s="3">
        <v>58.0</v>
      </c>
      <c r="B59" s="4">
        <v>46080.0</v>
      </c>
      <c r="C59" s="3" t="s">
        <v>17</v>
      </c>
      <c r="D59" s="5" t="s">
        <v>154</v>
      </c>
      <c r="E59" s="3" t="s">
        <v>155</v>
      </c>
      <c r="F59" s="3">
        <v>71.0</v>
      </c>
      <c r="G59" s="3"/>
      <c r="H59" s="7" t="s">
        <v>156</v>
      </c>
      <c r="I59" s="8"/>
    </row>
    <row r="60" ht="22.5" customHeight="1">
      <c r="A60" s="3">
        <v>59.0</v>
      </c>
      <c r="B60" s="4">
        <v>46083.0</v>
      </c>
      <c r="C60" s="3" t="s">
        <v>17</v>
      </c>
      <c r="D60" s="5" t="s">
        <v>157</v>
      </c>
      <c r="E60" s="3" t="s">
        <v>158</v>
      </c>
      <c r="F60" s="3">
        <v>83.0</v>
      </c>
      <c r="G60" s="3"/>
      <c r="H60" s="7" t="s">
        <v>159</v>
      </c>
      <c r="I60" s="8"/>
    </row>
    <row r="61" ht="22.5" customHeight="1">
      <c r="A61" s="3">
        <v>60.0</v>
      </c>
      <c r="B61" s="4">
        <v>46083.0</v>
      </c>
      <c r="C61" s="3" t="s">
        <v>12</v>
      </c>
      <c r="D61" s="5" t="s">
        <v>160</v>
      </c>
      <c r="E61" s="3" t="s">
        <v>161</v>
      </c>
      <c r="F61" s="3">
        <v>93.0</v>
      </c>
      <c r="G61" s="12" t="s">
        <v>162</v>
      </c>
      <c r="H61" s="7" t="s">
        <v>163</v>
      </c>
      <c r="I61" s="8"/>
    </row>
    <row r="62" ht="22.5" customHeight="1">
      <c r="A62" s="3">
        <v>61.0</v>
      </c>
      <c r="B62" s="4">
        <v>46084.0</v>
      </c>
      <c r="C62" s="3" t="s">
        <v>12</v>
      </c>
      <c r="D62" s="5" t="s">
        <v>164</v>
      </c>
      <c r="E62" s="3" t="s">
        <v>165</v>
      </c>
      <c r="F62" s="3">
        <v>102.0</v>
      </c>
      <c r="G62" s="3"/>
      <c r="H62" s="7" t="s">
        <v>166</v>
      </c>
      <c r="I62" s="8"/>
    </row>
    <row r="63" ht="22.5" customHeight="1">
      <c r="A63" s="3">
        <v>62.0</v>
      </c>
      <c r="B63" s="4">
        <v>46084.0</v>
      </c>
      <c r="C63" s="3" t="s">
        <v>17</v>
      </c>
      <c r="D63" s="5" t="s">
        <v>167</v>
      </c>
      <c r="E63" s="3" t="s">
        <v>168</v>
      </c>
      <c r="F63" s="3">
        <v>84.0</v>
      </c>
      <c r="G63" s="3"/>
      <c r="H63" s="7" t="s">
        <v>169</v>
      </c>
      <c r="I63" s="8"/>
    </row>
    <row r="64" ht="22.5" customHeight="1">
      <c r="A64" s="3">
        <v>63.0</v>
      </c>
      <c r="B64" s="4">
        <v>46085.0</v>
      </c>
      <c r="C64" s="3" t="s">
        <v>12</v>
      </c>
      <c r="D64" s="5" t="s">
        <v>170</v>
      </c>
      <c r="E64" s="3" t="s">
        <v>171</v>
      </c>
      <c r="F64" s="3">
        <v>194.0</v>
      </c>
      <c r="G64" s="3"/>
      <c r="H64" s="7" t="s">
        <v>172</v>
      </c>
      <c r="I64" s="8"/>
    </row>
    <row r="65" ht="22.5" customHeight="1">
      <c r="A65" s="3">
        <v>64.0</v>
      </c>
      <c r="B65" s="4">
        <v>46084.0</v>
      </c>
      <c r="C65" s="3" t="s">
        <v>17</v>
      </c>
      <c r="D65" s="5" t="s">
        <v>173</v>
      </c>
      <c r="E65" s="3" t="s">
        <v>174</v>
      </c>
      <c r="F65" s="3">
        <v>120.0</v>
      </c>
      <c r="G65" s="3"/>
      <c r="H65" s="7" t="s">
        <v>175</v>
      </c>
      <c r="I65" s="8"/>
    </row>
    <row r="66" ht="22.5" customHeight="1">
      <c r="A66" s="3">
        <v>65.0</v>
      </c>
      <c r="B66" s="4">
        <v>46086.0</v>
      </c>
      <c r="C66" s="3" t="s">
        <v>17</v>
      </c>
      <c r="D66" s="5" t="s">
        <v>176</v>
      </c>
      <c r="E66" s="3" t="s">
        <v>177</v>
      </c>
      <c r="F66" s="3">
        <v>153.0</v>
      </c>
      <c r="G66" s="3"/>
      <c r="H66" s="7" t="s">
        <v>178</v>
      </c>
      <c r="I66" s="8"/>
    </row>
    <row r="67" ht="22.5" customHeight="1">
      <c r="A67" s="3">
        <v>66.0</v>
      </c>
      <c r="B67" s="4">
        <v>46086.0</v>
      </c>
      <c r="C67" s="3" t="s">
        <v>12</v>
      </c>
      <c r="D67" s="5" t="s">
        <v>179</v>
      </c>
      <c r="E67" s="3" t="s">
        <v>180</v>
      </c>
      <c r="F67" s="3">
        <v>108.0</v>
      </c>
      <c r="G67" s="3"/>
      <c r="H67" s="7" t="s">
        <v>181</v>
      </c>
      <c r="I67" s="8"/>
    </row>
    <row r="68" ht="22.5" customHeight="1">
      <c r="A68" s="3">
        <v>67.0</v>
      </c>
      <c r="B68" s="4">
        <v>46087.0</v>
      </c>
      <c r="C68" s="3" t="s">
        <v>12</v>
      </c>
      <c r="D68" s="5" t="s">
        <v>182</v>
      </c>
      <c r="E68" s="3" t="s">
        <v>183</v>
      </c>
      <c r="F68" s="3">
        <v>103.0</v>
      </c>
      <c r="G68" s="12" t="s">
        <v>184</v>
      </c>
      <c r="H68" s="7" t="s">
        <v>185</v>
      </c>
      <c r="I68" s="8"/>
    </row>
    <row r="69" ht="22.5" customHeight="1">
      <c r="A69" s="3">
        <v>68.0</v>
      </c>
      <c r="B69" s="4">
        <v>46088.0</v>
      </c>
      <c r="C69" s="3" t="s">
        <v>12</v>
      </c>
      <c r="D69" s="5" t="s">
        <v>186</v>
      </c>
      <c r="E69" s="3" t="s">
        <v>187</v>
      </c>
      <c r="F69" s="3">
        <v>88.0</v>
      </c>
      <c r="G69" s="12" t="s">
        <v>188</v>
      </c>
      <c r="H69" s="7" t="s">
        <v>189</v>
      </c>
      <c r="I69" s="8"/>
    </row>
    <row r="70" ht="22.5" customHeight="1">
      <c r="A70" s="3">
        <v>69.0</v>
      </c>
      <c r="B70" s="4">
        <v>46090.0</v>
      </c>
      <c r="C70" s="3" t="s">
        <v>190</v>
      </c>
      <c r="D70" s="5" t="s">
        <v>191</v>
      </c>
      <c r="E70" s="3" t="s">
        <v>192</v>
      </c>
      <c r="F70" s="3">
        <v>74.0</v>
      </c>
      <c r="G70" s="12" t="s">
        <v>193</v>
      </c>
      <c r="H70" s="7" t="s">
        <v>194</v>
      </c>
      <c r="I70" s="8"/>
    </row>
    <row r="71" ht="22.5" customHeight="1">
      <c r="A71" s="3">
        <v>70.0</v>
      </c>
      <c r="B71" s="4">
        <v>46089.0</v>
      </c>
      <c r="C71" s="3" t="s">
        <v>12</v>
      </c>
      <c r="D71" s="5" t="s">
        <v>195</v>
      </c>
      <c r="E71" s="3" t="s">
        <v>196</v>
      </c>
      <c r="F71" s="3">
        <v>98.0</v>
      </c>
      <c r="G71" s="12" t="s">
        <v>197</v>
      </c>
      <c r="H71" s="7" t="s">
        <v>198</v>
      </c>
      <c r="I71" s="8"/>
    </row>
    <row r="72" ht="22.5" customHeight="1">
      <c r="A72" s="3">
        <v>71.0</v>
      </c>
      <c r="B72" s="4">
        <v>46090.0</v>
      </c>
      <c r="C72" s="3" t="s">
        <v>12</v>
      </c>
      <c r="D72" s="5" t="s">
        <v>199</v>
      </c>
      <c r="E72" s="3" t="s">
        <v>200</v>
      </c>
      <c r="F72" s="3">
        <v>130.0</v>
      </c>
      <c r="G72" s="3"/>
      <c r="H72" s="7" t="s">
        <v>201</v>
      </c>
      <c r="I72" s="8"/>
    </row>
    <row r="73" ht="22.5" customHeight="1">
      <c r="A73" s="3">
        <v>72.0</v>
      </c>
      <c r="B73" s="4">
        <v>46091.0</v>
      </c>
      <c r="C73" s="3" t="s">
        <v>190</v>
      </c>
      <c r="D73" s="5" t="s">
        <v>202</v>
      </c>
      <c r="E73" s="3" t="s">
        <v>203</v>
      </c>
      <c r="F73" s="3">
        <v>49.0</v>
      </c>
      <c r="G73" s="12" t="s">
        <v>204</v>
      </c>
      <c r="H73" s="7" t="s">
        <v>205</v>
      </c>
      <c r="I73" s="8"/>
    </row>
    <row r="74" ht="22.5" customHeight="1">
      <c r="A74" s="3">
        <v>73.0</v>
      </c>
      <c r="B74" s="4">
        <v>46092.0</v>
      </c>
      <c r="C74" s="3" t="s">
        <v>12</v>
      </c>
      <c r="D74" s="5" t="s">
        <v>206</v>
      </c>
      <c r="E74" s="3" t="s">
        <v>207</v>
      </c>
      <c r="F74" s="3">
        <v>174.0</v>
      </c>
      <c r="G74" s="12" t="s">
        <v>208</v>
      </c>
      <c r="H74" s="7" t="s">
        <v>209</v>
      </c>
      <c r="I74" s="8"/>
    </row>
    <row r="75" ht="22.5" customHeight="1">
      <c r="A75" s="3">
        <v>74.0</v>
      </c>
      <c r="B75" s="4">
        <v>46092.0</v>
      </c>
      <c r="C75" s="3" t="s">
        <v>17</v>
      </c>
      <c r="D75" s="5" t="s">
        <v>210</v>
      </c>
      <c r="E75" s="3" t="s">
        <v>211</v>
      </c>
      <c r="F75" s="3">
        <v>155.0</v>
      </c>
      <c r="G75" s="3"/>
      <c r="H75" s="7" t="s">
        <v>212</v>
      </c>
      <c r="I75" s="8"/>
    </row>
    <row r="76" ht="22.5" customHeight="1">
      <c r="A76" s="3">
        <v>75.0</v>
      </c>
      <c r="B76" s="4">
        <v>46093.0</v>
      </c>
      <c r="C76" s="3" t="s">
        <v>17</v>
      </c>
      <c r="D76" s="5" t="s">
        <v>213</v>
      </c>
      <c r="E76" s="3" t="s">
        <v>214</v>
      </c>
      <c r="F76" s="3">
        <v>180.0</v>
      </c>
      <c r="G76" s="3"/>
      <c r="H76" s="7" t="s">
        <v>215</v>
      </c>
      <c r="I76" s="8"/>
    </row>
    <row r="77" ht="22.5" customHeight="1">
      <c r="A77" s="3">
        <v>76.0</v>
      </c>
      <c r="B77" s="3"/>
      <c r="C77" s="3"/>
      <c r="D77" s="5"/>
      <c r="E77" s="3"/>
      <c r="F77" s="3"/>
      <c r="G77" s="3"/>
      <c r="H77" s="6"/>
      <c r="I77" s="8"/>
    </row>
    <row r="78" ht="22.5" customHeight="1">
      <c r="A78" s="3">
        <v>77.0</v>
      </c>
      <c r="B78" s="3"/>
      <c r="C78" s="3"/>
      <c r="D78" s="5"/>
      <c r="E78" s="3"/>
      <c r="F78" s="3"/>
      <c r="G78" s="3"/>
      <c r="H78" s="6"/>
      <c r="I78" s="8"/>
    </row>
    <row r="79" ht="22.5" customHeight="1">
      <c r="A79" s="3">
        <v>78.0</v>
      </c>
      <c r="B79" s="4">
        <v>46094.0</v>
      </c>
      <c r="C79" s="3" t="s">
        <v>17</v>
      </c>
      <c r="D79" s="5" t="s">
        <v>216</v>
      </c>
      <c r="E79" s="3" t="s">
        <v>217</v>
      </c>
      <c r="F79" s="3">
        <v>101.0</v>
      </c>
      <c r="G79" s="3"/>
      <c r="H79" s="7" t="s">
        <v>218</v>
      </c>
      <c r="I79" s="8"/>
    </row>
    <row r="80" ht="22.5" customHeight="1">
      <c r="A80" s="3">
        <v>79.0</v>
      </c>
      <c r="B80" s="4">
        <v>46094.0</v>
      </c>
      <c r="C80" s="3" t="s">
        <v>12</v>
      </c>
      <c r="D80" s="5" t="s">
        <v>219</v>
      </c>
      <c r="E80" s="3" t="s">
        <v>220</v>
      </c>
      <c r="F80" s="3">
        <v>120.0</v>
      </c>
      <c r="G80" s="3"/>
      <c r="H80" s="7" t="s">
        <v>221</v>
      </c>
      <c r="I80" s="8"/>
    </row>
    <row r="81" ht="22.5" customHeight="1">
      <c r="A81" s="3">
        <v>80.0</v>
      </c>
      <c r="B81" s="4">
        <v>46093.0</v>
      </c>
      <c r="C81" s="3" t="s">
        <v>12</v>
      </c>
      <c r="D81" s="5" t="s">
        <v>222</v>
      </c>
      <c r="E81" s="3" t="s">
        <v>223</v>
      </c>
      <c r="F81" s="3">
        <v>164.0</v>
      </c>
      <c r="G81" s="3"/>
      <c r="H81" s="7" t="s">
        <v>224</v>
      </c>
      <c r="I81" s="8"/>
    </row>
    <row r="82" ht="22.5" customHeight="1">
      <c r="A82" s="3">
        <v>81.0</v>
      </c>
      <c r="B82" s="4">
        <v>46095.0</v>
      </c>
      <c r="C82" s="3" t="s">
        <v>12</v>
      </c>
      <c r="D82" s="5" t="s">
        <v>225</v>
      </c>
      <c r="E82" s="3" t="s">
        <v>226</v>
      </c>
      <c r="F82" s="3">
        <v>177.0</v>
      </c>
      <c r="G82" s="3"/>
      <c r="H82" s="7" t="s">
        <v>227</v>
      </c>
      <c r="I82" s="8"/>
    </row>
    <row r="83" ht="22.5" customHeight="1">
      <c r="A83" s="3">
        <v>82.0</v>
      </c>
      <c r="B83" s="4">
        <v>46096.0</v>
      </c>
      <c r="C83" s="3" t="s">
        <v>228</v>
      </c>
      <c r="D83" s="5" t="s">
        <v>229</v>
      </c>
      <c r="E83" s="3" t="s">
        <v>230</v>
      </c>
      <c r="F83" s="3">
        <v>0.0</v>
      </c>
      <c r="G83" s="3"/>
      <c r="H83" s="7" t="s">
        <v>231</v>
      </c>
      <c r="I83" s="8"/>
    </row>
    <row r="84" ht="22.5" customHeight="1">
      <c r="A84" s="3">
        <v>83.0</v>
      </c>
      <c r="B84" s="4">
        <v>46095.0</v>
      </c>
      <c r="C84" s="3" t="s">
        <v>17</v>
      </c>
      <c r="D84" s="5" t="s">
        <v>232</v>
      </c>
      <c r="E84" s="3" t="s">
        <v>233</v>
      </c>
      <c r="F84" s="3">
        <v>108.0</v>
      </c>
      <c r="G84" s="3"/>
      <c r="H84" s="7" t="s">
        <v>234</v>
      </c>
      <c r="I84" s="8"/>
    </row>
    <row r="85" ht="22.5" customHeight="1">
      <c r="A85" s="3">
        <v>84.0</v>
      </c>
      <c r="B85" s="4">
        <v>46096.0</v>
      </c>
      <c r="C85" s="3" t="s">
        <v>17</v>
      </c>
      <c r="D85" s="5" t="s">
        <v>235</v>
      </c>
      <c r="E85" s="3" t="s">
        <v>236</v>
      </c>
      <c r="F85" s="3">
        <v>93.0</v>
      </c>
      <c r="G85" s="3"/>
      <c r="H85" s="7" t="s">
        <v>237</v>
      </c>
      <c r="I85" s="8"/>
    </row>
    <row r="86" ht="22.5" customHeight="1">
      <c r="A86" s="3">
        <v>85.0</v>
      </c>
      <c r="B86" s="4">
        <v>46097.0</v>
      </c>
      <c r="C86" s="3" t="s">
        <v>12</v>
      </c>
      <c r="D86" s="5" t="s">
        <v>238</v>
      </c>
      <c r="E86" s="3" t="s">
        <v>239</v>
      </c>
      <c r="F86" s="3">
        <v>133.0</v>
      </c>
      <c r="G86" s="12" t="s">
        <v>240</v>
      </c>
      <c r="H86" s="7" t="s">
        <v>241</v>
      </c>
      <c r="I86" s="8"/>
    </row>
    <row r="87" ht="22.5" customHeight="1">
      <c r="A87" s="3">
        <v>86.0</v>
      </c>
      <c r="B87" s="4">
        <v>46097.0</v>
      </c>
      <c r="C87" s="3" t="s">
        <v>228</v>
      </c>
      <c r="D87" s="5" t="s">
        <v>242</v>
      </c>
      <c r="E87" s="3" t="s">
        <v>243</v>
      </c>
      <c r="F87" s="3">
        <v>0.0</v>
      </c>
      <c r="G87" s="12" t="s">
        <v>244</v>
      </c>
      <c r="H87" s="7" t="s">
        <v>245</v>
      </c>
      <c r="I87" s="8"/>
    </row>
    <row r="88" ht="22.5" customHeight="1">
      <c r="A88" s="3">
        <v>87.0</v>
      </c>
      <c r="B88" s="4">
        <v>46098.0</v>
      </c>
      <c r="C88" s="3" t="s">
        <v>228</v>
      </c>
      <c r="D88" s="5" t="s">
        <v>246</v>
      </c>
      <c r="E88" s="3" t="s">
        <v>247</v>
      </c>
      <c r="F88" s="3">
        <v>0.0</v>
      </c>
      <c r="G88" s="3"/>
      <c r="H88" s="7" t="s">
        <v>248</v>
      </c>
      <c r="I88" s="8"/>
    </row>
    <row r="89" ht="22.5" customHeight="1">
      <c r="A89" s="3">
        <v>88.0</v>
      </c>
      <c r="B89" s="4">
        <v>46098.0</v>
      </c>
      <c r="C89" s="3" t="s">
        <v>228</v>
      </c>
      <c r="D89" s="5" t="s">
        <v>249</v>
      </c>
      <c r="E89" s="3" t="s">
        <v>247</v>
      </c>
      <c r="F89" s="3">
        <v>0.0</v>
      </c>
      <c r="G89" s="3"/>
      <c r="H89" s="7" t="s">
        <v>250</v>
      </c>
      <c r="I89" s="8"/>
    </row>
    <row r="90" ht="22.5" customHeight="1">
      <c r="A90" s="3">
        <v>89.0</v>
      </c>
      <c r="B90" s="4">
        <v>46100.0</v>
      </c>
      <c r="C90" s="3" t="s">
        <v>228</v>
      </c>
      <c r="D90" s="5" t="s">
        <v>251</v>
      </c>
      <c r="E90" s="3" t="s">
        <v>252</v>
      </c>
      <c r="F90" s="3">
        <v>0.0</v>
      </c>
      <c r="G90" s="3"/>
      <c r="H90" s="7" t="s">
        <v>253</v>
      </c>
      <c r="I90" s="8"/>
    </row>
    <row r="91" ht="22.5" customHeight="1">
      <c r="A91" s="3">
        <v>90.0</v>
      </c>
      <c r="B91" s="4">
        <v>46100.0</v>
      </c>
      <c r="C91" s="3" t="s">
        <v>17</v>
      </c>
      <c r="D91" s="5" t="s">
        <v>254</v>
      </c>
      <c r="E91" s="3" t="s">
        <v>255</v>
      </c>
      <c r="F91" s="3">
        <v>160.0</v>
      </c>
      <c r="G91" s="3"/>
      <c r="H91" s="7" t="s">
        <v>256</v>
      </c>
      <c r="I91" s="8"/>
    </row>
    <row r="92" ht="22.5" customHeight="1">
      <c r="A92" s="3">
        <v>91.0</v>
      </c>
      <c r="B92" s="4">
        <v>46097.0</v>
      </c>
      <c r="C92" s="3" t="s">
        <v>17</v>
      </c>
      <c r="D92" s="5" t="s">
        <v>249</v>
      </c>
      <c r="E92" s="3" t="s">
        <v>257</v>
      </c>
      <c r="F92" s="3">
        <v>121.0</v>
      </c>
      <c r="G92" s="3"/>
      <c r="H92" s="7" t="s">
        <v>258</v>
      </c>
      <c r="I92" s="8"/>
    </row>
    <row r="93" ht="22.5" customHeight="1">
      <c r="A93" s="3">
        <v>92.0</v>
      </c>
      <c r="B93" s="4">
        <v>46096.0</v>
      </c>
      <c r="C93" s="3" t="s">
        <v>17</v>
      </c>
      <c r="D93" s="5" t="s">
        <v>235</v>
      </c>
      <c r="E93" s="3" t="s">
        <v>259</v>
      </c>
      <c r="F93" s="3">
        <v>104.0</v>
      </c>
      <c r="G93" s="3"/>
      <c r="H93" s="7" t="s">
        <v>260</v>
      </c>
      <c r="I93" s="8"/>
    </row>
    <row r="94" ht="22.5" customHeight="1">
      <c r="A94" s="3">
        <v>93.0</v>
      </c>
      <c r="B94" s="4">
        <v>46098.0</v>
      </c>
      <c r="C94" s="3" t="s">
        <v>12</v>
      </c>
      <c r="D94" s="5" t="s">
        <v>261</v>
      </c>
      <c r="E94" s="3" t="s">
        <v>262</v>
      </c>
      <c r="F94" s="3">
        <v>98.0</v>
      </c>
      <c r="G94" s="12" t="s">
        <v>263</v>
      </c>
      <c r="H94" s="7" t="s">
        <v>241</v>
      </c>
      <c r="I94" s="8"/>
    </row>
    <row r="95" ht="22.5" customHeight="1">
      <c r="A95" s="3">
        <v>94.0</v>
      </c>
      <c r="B95" s="4">
        <v>46099.0</v>
      </c>
      <c r="C95" s="3" t="s">
        <v>12</v>
      </c>
      <c r="D95" s="5" t="s">
        <v>264</v>
      </c>
      <c r="E95" s="3" t="s">
        <v>265</v>
      </c>
      <c r="F95" s="3">
        <v>90.0</v>
      </c>
      <c r="G95" s="12" t="s">
        <v>266</v>
      </c>
      <c r="H95" s="7" t="s">
        <v>201</v>
      </c>
      <c r="I95" s="8"/>
    </row>
    <row r="96" ht="22.5" customHeight="1">
      <c r="A96" s="3">
        <v>95.0</v>
      </c>
      <c r="B96" s="4">
        <v>46100.0</v>
      </c>
      <c r="C96" s="3" t="s">
        <v>12</v>
      </c>
      <c r="D96" s="5" t="s">
        <v>267</v>
      </c>
      <c r="E96" s="3" t="s">
        <v>268</v>
      </c>
      <c r="F96" s="3">
        <v>91.0</v>
      </c>
      <c r="G96" s="12" t="s">
        <v>269</v>
      </c>
      <c r="H96" s="7" t="s">
        <v>159</v>
      </c>
      <c r="I96" s="8"/>
    </row>
    <row r="97" ht="22.5" customHeight="1">
      <c r="A97" s="3">
        <v>96.0</v>
      </c>
      <c r="B97" s="4">
        <v>46102.0</v>
      </c>
      <c r="C97" s="3" t="s">
        <v>12</v>
      </c>
      <c r="D97" s="5" t="s">
        <v>270</v>
      </c>
      <c r="E97" s="3" t="s">
        <v>271</v>
      </c>
      <c r="F97" s="3">
        <v>57.0</v>
      </c>
      <c r="G97" s="3"/>
      <c r="H97" s="7" t="s">
        <v>117</v>
      </c>
      <c r="I97" s="8"/>
    </row>
    <row r="98" ht="22.5" customHeight="1">
      <c r="A98" s="3">
        <v>97.0</v>
      </c>
      <c r="B98" s="4">
        <v>46101.0</v>
      </c>
      <c r="C98" s="3" t="s">
        <v>12</v>
      </c>
      <c r="D98" s="13" t="s">
        <v>272</v>
      </c>
      <c r="E98" s="14" t="s">
        <v>273</v>
      </c>
      <c r="F98" s="14">
        <v>116.0</v>
      </c>
      <c r="G98" s="3"/>
      <c r="H98" s="7" t="s">
        <v>221</v>
      </c>
      <c r="I98" s="8"/>
    </row>
    <row r="99" ht="22.5" customHeight="1">
      <c r="A99" s="3">
        <v>98.0</v>
      </c>
      <c r="B99" s="4">
        <v>46102.0</v>
      </c>
      <c r="C99" s="3" t="s">
        <v>12</v>
      </c>
      <c r="D99" s="13" t="s">
        <v>274</v>
      </c>
      <c r="E99" s="14" t="s">
        <v>275</v>
      </c>
      <c r="F99" s="14">
        <v>72.0</v>
      </c>
      <c r="G99" s="3"/>
      <c r="H99" s="7" t="s">
        <v>221</v>
      </c>
      <c r="I99" s="8"/>
    </row>
    <row r="100" ht="22.5" customHeight="1">
      <c r="A100" s="3">
        <v>99.0</v>
      </c>
      <c r="B100" s="4">
        <v>46103.0</v>
      </c>
      <c r="C100" s="3" t="s">
        <v>12</v>
      </c>
      <c r="D100" s="13" t="s">
        <v>276</v>
      </c>
      <c r="E100" s="14" t="s">
        <v>277</v>
      </c>
      <c r="F100" s="14">
        <v>88.0</v>
      </c>
      <c r="G100" s="3"/>
      <c r="H100" s="7" t="s">
        <v>224</v>
      </c>
      <c r="I100" s="8"/>
    </row>
    <row r="101" ht="22.5" customHeight="1">
      <c r="A101" s="3">
        <v>100.0</v>
      </c>
      <c r="B101" s="4">
        <v>46106.0</v>
      </c>
      <c r="C101" s="3" t="s">
        <v>12</v>
      </c>
      <c r="D101" s="13" t="s">
        <v>278</v>
      </c>
      <c r="E101" s="14" t="s">
        <v>279</v>
      </c>
      <c r="F101" s="14"/>
      <c r="G101" s="3"/>
      <c r="H101" s="7" t="s">
        <v>231</v>
      </c>
      <c r="I101" s="8"/>
    </row>
    <row r="102" ht="22.5" customHeight="1">
      <c r="A102" s="3">
        <v>101.0</v>
      </c>
      <c r="B102" s="15">
        <v>46107.0</v>
      </c>
      <c r="C102" s="14" t="s">
        <v>12</v>
      </c>
      <c r="D102" s="13" t="s">
        <v>280</v>
      </c>
      <c r="E102" s="14" t="s">
        <v>281</v>
      </c>
      <c r="F102" s="14">
        <v>66.0</v>
      </c>
      <c r="G102" s="14" t="s">
        <v>282</v>
      </c>
      <c r="H102" s="7" t="s">
        <v>224</v>
      </c>
      <c r="I102" s="8"/>
    </row>
    <row r="103" ht="22.5" customHeight="1">
      <c r="A103" s="3">
        <v>102.0</v>
      </c>
      <c r="B103" s="16">
        <v>46107.0</v>
      </c>
      <c r="C103" s="17" t="s">
        <v>28</v>
      </c>
      <c r="D103" s="18" t="s">
        <v>283</v>
      </c>
      <c r="E103" s="17" t="s">
        <v>284</v>
      </c>
      <c r="F103" s="17">
        <v>50.0</v>
      </c>
      <c r="G103" s="17" t="s">
        <v>42</v>
      </c>
      <c r="H103" s="19" t="s">
        <v>285</v>
      </c>
    </row>
    <row r="104" ht="22.5" customHeight="1">
      <c r="A104" s="3">
        <v>103.0</v>
      </c>
      <c r="B104" s="16">
        <v>46108.0</v>
      </c>
      <c r="C104" s="17" t="s">
        <v>28</v>
      </c>
      <c r="D104" s="18" t="s">
        <v>286</v>
      </c>
      <c r="E104" s="17" t="s">
        <v>287</v>
      </c>
      <c r="F104" s="17">
        <v>119.0</v>
      </c>
      <c r="G104" s="17" t="s">
        <v>288</v>
      </c>
    </row>
    <row r="105" ht="22.5" customHeight="1">
      <c r="A105" s="3">
        <v>104.0</v>
      </c>
      <c r="B105" s="16">
        <v>46109.0</v>
      </c>
      <c r="C105" s="17" t="s">
        <v>28</v>
      </c>
      <c r="D105" s="18" t="s">
        <v>289</v>
      </c>
      <c r="E105" s="17" t="s">
        <v>290</v>
      </c>
      <c r="F105" s="17">
        <v>69.0</v>
      </c>
      <c r="G105" s="20"/>
    </row>
    <row r="106" ht="22.5" customHeight="1">
      <c r="A106" s="3">
        <v>105.0</v>
      </c>
      <c r="B106" s="16">
        <v>46108.0</v>
      </c>
      <c r="C106" s="3" t="s">
        <v>12</v>
      </c>
      <c r="D106" s="13" t="s">
        <v>291</v>
      </c>
      <c r="E106" s="14" t="s">
        <v>292</v>
      </c>
      <c r="F106" s="14">
        <v>79.0</v>
      </c>
      <c r="G106" s="20"/>
      <c r="H106" s="7" t="s">
        <v>221</v>
      </c>
    </row>
    <row r="107" ht="22.5" customHeight="1">
      <c r="A107" s="3">
        <v>106.0</v>
      </c>
      <c r="B107" s="16">
        <v>46109.0</v>
      </c>
      <c r="C107" s="3" t="s">
        <v>12</v>
      </c>
      <c r="D107" s="13" t="s">
        <v>291</v>
      </c>
      <c r="E107" s="14" t="s">
        <v>293</v>
      </c>
      <c r="F107" s="14">
        <v>83.0</v>
      </c>
      <c r="G107" s="20"/>
      <c r="H107" s="7" t="s">
        <v>221</v>
      </c>
    </row>
    <row r="108" ht="22.5" customHeight="1">
      <c r="A108" s="3">
        <v>107.0</v>
      </c>
      <c r="B108" s="16">
        <v>46111.0</v>
      </c>
      <c r="C108" s="17" t="s">
        <v>12</v>
      </c>
      <c r="D108" s="18" t="s">
        <v>294</v>
      </c>
      <c r="E108" s="17" t="s">
        <v>295</v>
      </c>
      <c r="F108" s="17">
        <v>126.0</v>
      </c>
      <c r="G108" s="20"/>
      <c r="H108" s="19" t="s">
        <v>296</v>
      </c>
    </row>
    <row r="109" ht="22.5" customHeight="1">
      <c r="A109" s="3">
        <v>108.0</v>
      </c>
      <c r="B109" s="16">
        <v>46112.0</v>
      </c>
      <c r="C109" s="17" t="s">
        <v>12</v>
      </c>
      <c r="D109" s="18" t="s">
        <v>297</v>
      </c>
      <c r="E109" s="17" t="s">
        <v>298</v>
      </c>
      <c r="F109" s="17">
        <v>103.0</v>
      </c>
      <c r="G109" s="20"/>
      <c r="H109" s="19" t="s">
        <v>296</v>
      </c>
    </row>
    <row r="110" ht="22.5" customHeight="1">
      <c r="A110" s="21">
        <v>109.0</v>
      </c>
      <c r="B110" s="16">
        <v>46113.0</v>
      </c>
      <c r="C110" s="17" t="s">
        <v>228</v>
      </c>
      <c r="D110" s="22"/>
      <c r="E110" s="17" t="s">
        <v>299</v>
      </c>
      <c r="F110" s="17">
        <v>30.0</v>
      </c>
    </row>
    <row r="111" ht="22.5" customHeight="1">
      <c r="A111" s="21">
        <v>110.0</v>
      </c>
      <c r="B111" s="16">
        <v>46113.0</v>
      </c>
      <c r="C111" s="17" t="s">
        <v>28</v>
      </c>
      <c r="D111" s="18" t="s">
        <v>300</v>
      </c>
      <c r="E111" s="17" t="s">
        <v>301</v>
      </c>
      <c r="F111" s="17">
        <v>79.0</v>
      </c>
      <c r="G111" s="23" t="s">
        <v>302</v>
      </c>
      <c r="H111" s="19" t="s">
        <v>303</v>
      </c>
    </row>
    <row r="112" ht="22.5" customHeight="1">
      <c r="A112" s="17">
        <v>111.0</v>
      </c>
      <c r="B112" s="16">
        <v>46113.0</v>
      </c>
      <c r="C112" s="17" t="s">
        <v>12</v>
      </c>
      <c r="D112" s="18" t="s">
        <v>304</v>
      </c>
      <c r="E112" s="17" t="s">
        <v>305</v>
      </c>
      <c r="F112" s="17">
        <v>52.0</v>
      </c>
      <c r="G112" s="20"/>
      <c r="H112" s="19" t="s">
        <v>303</v>
      </c>
    </row>
    <row r="113" ht="22.5" customHeight="1">
      <c r="A113" s="21">
        <v>112.0</v>
      </c>
      <c r="B113" s="16">
        <v>46114.0</v>
      </c>
      <c r="C113" s="17" t="s">
        <v>228</v>
      </c>
      <c r="D113" s="18" t="s">
        <v>306</v>
      </c>
      <c r="E113" s="17" t="s">
        <v>307</v>
      </c>
      <c r="F113" s="17">
        <v>58.0</v>
      </c>
      <c r="G113" s="23" t="s">
        <v>308</v>
      </c>
    </row>
    <row r="114" ht="22.5" customHeight="1">
      <c r="A114" s="21">
        <v>113.0</v>
      </c>
      <c r="B114" s="16">
        <v>46114.0</v>
      </c>
      <c r="C114" s="17" t="s">
        <v>12</v>
      </c>
      <c r="D114" s="18" t="s">
        <v>309</v>
      </c>
      <c r="E114" s="17" t="s">
        <v>310</v>
      </c>
      <c r="F114" s="17">
        <v>68.0</v>
      </c>
      <c r="G114" s="17" t="s">
        <v>311</v>
      </c>
      <c r="H114" s="24" t="s">
        <v>76</v>
      </c>
    </row>
    <row r="115" ht="22.5" customHeight="1">
      <c r="A115" s="21">
        <v>114.0</v>
      </c>
      <c r="B115" s="16">
        <v>46114.0</v>
      </c>
      <c r="C115" s="17" t="s">
        <v>28</v>
      </c>
      <c r="D115" s="18" t="s">
        <v>312</v>
      </c>
      <c r="E115" s="17" t="s">
        <v>313</v>
      </c>
      <c r="F115" s="17">
        <v>8.0</v>
      </c>
      <c r="G115" s="23" t="s">
        <v>314</v>
      </c>
      <c r="H115" s="24" t="s">
        <v>315</v>
      </c>
    </row>
    <row r="116" ht="22.5" customHeight="1">
      <c r="A116" s="21">
        <v>115.0</v>
      </c>
      <c r="B116" s="16">
        <v>46115.0</v>
      </c>
      <c r="C116" s="17" t="s">
        <v>228</v>
      </c>
      <c r="D116" s="18" t="s">
        <v>306</v>
      </c>
      <c r="E116" s="17" t="s">
        <v>316</v>
      </c>
      <c r="F116" s="17">
        <v>155.0</v>
      </c>
      <c r="H116" s="24" t="s">
        <v>317</v>
      </c>
    </row>
    <row r="117" ht="22.5" customHeight="1">
      <c r="A117" s="21">
        <v>116.0</v>
      </c>
      <c r="B117" s="16">
        <v>46116.0</v>
      </c>
      <c r="C117" s="17" t="s">
        <v>12</v>
      </c>
      <c r="D117" s="18" t="s">
        <v>318</v>
      </c>
      <c r="E117" s="17" t="s">
        <v>319</v>
      </c>
      <c r="F117" s="17">
        <v>101.0</v>
      </c>
      <c r="G117" s="17" t="s">
        <v>320</v>
      </c>
      <c r="H117" s="24" t="s">
        <v>321</v>
      </c>
    </row>
    <row r="118" ht="22.5" customHeight="1">
      <c r="A118" s="21">
        <v>117.0</v>
      </c>
      <c r="B118" s="16">
        <v>46116.0</v>
      </c>
      <c r="C118" s="17" t="s">
        <v>228</v>
      </c>
      <c r="D118" s="22"/>
      <c r="E118" s="17" t="s">
        <v>322</v>
      </c>
      <c r="F118" s="17">
        <v>80.0</v>
      </c>
      <c r="G118" s="23" t="s">
        <v>323</v>
      </c>
      <c r="H118" s="24" t="s">
        <v>324</v>
      </c>
    </row>
    <row r="119" ht="22.5" customHeight="1">
      <c r="A119" s="21">
        <v>118.0</v>
      </c>
      <c r="B119" s="16">
        <v>46118.0</v>
      </c>
      <c r="C119" s="17" t="s">
        <v>28</v>
      </c>
      <c r="D119" s="18" t="s">
        <v>325</v>
      </c>
      <c r="E119" s="17" t="s">
        <v>326</v>
      </c>
      <c r="F119" s="17">
        <v>41.0</v>
      </c>
      <c r="H119" s="25" t="s">
        <v>327</v>
      </c>
    </row>
    <row r="120" ht="22.5" customHeight="1">
      <c r="A120" s="21">
        <v>119.0</v>
      </c>
      <c r="B120" s="16">
        <v>46118.0</v>
      </c>
      <c r="C120" s="17" t="s">
        <v>228</v>
      </c>
      <c r="D120" s="18" t="s">
        <v>328</v>
      </c>
      <c r="E120" s="17" t="s">
        <v>329</v>
      </c>
      <c r="F120" s="17">
        <v>12.0</v>
      </c>
      <c r="G120" s="23" t="s">
        <v>330</v>
      </c>
      <c r="H120" s="24" t="s">
        <v>317</v>
      </c>
    </row>
    <row r="121" ht="22.5" customHeight="1">
      <c r="A121" s="21">
        <v>120.0</v>
      </c>
      <c r="B121" s="16">
        <v>46118.0</v>
      </c>
      <c r="C121" s="17" t="s">
        <v>228</v>
      </c>
      <c r="D121" s="18" t="s">
        <v>328</v>
      </c>
      <c r="E121" s="17" t="s">
        <v>331</v>
      </c>
      <c r="F121" s="17">
        <v>123.0</v>
      </c>
      <c r="G121" s="23" t="s">
        <v>332</v>
      </c>
      <c r="H121" s="24" t="s">
        <v>317</v>
      </c>
    </row>
    <row r="122" ht="22.5" customHeight="1">
      <c r="A122" s="21">
        <v>121.0</v>
      </c>
      <c r="B122" s="16">
        <v>46118.0</v>
      </c>
      <c r="C122" s="17" t="s">
        <v>12</v>
      </c>
      <c r="D122" s="18" t="s">
        <v>333</v>
      </c>
      <c r="E122" s="17" t="s">
        <v>334</v>
      </c>
      <c r="F122" s="17">
        <v>96.0</v>
      </c>
      <c r="H122" s="24" t="s">
        <v>335</v>
      </c>
    </row>
    <row r="123" ht="22.5" customHeight="1">
      <c r="A123" s="21">
        <v>122.0</v>
      </c>
      <c r="B123" s="16">
        <v>46119.0</v>
      </c>
      <c r="C123" s="17" t="s">
        <v>28</v>
      </c>
      <c r="D123" s="18" t="s">
        <v>336</v>
      </c>
      <c r="E123" s="17" t="s">
        <v>337</v>
      </c>
      <c r="F123" s="17">
        <v>76.0</v>
      </c>
      <c r="G123" s="23" t="s">
        <v>338</v>
      </c>
      <c r="H123" s="25" t="s">
        <v>339</v>
      </c>
    </row>
    <row r="124" ht="22.5" customHeight="1">
      <c r="A124" s="21">
        <v>123.0</v>
      </c>
      <c r="B124" s="16">
        <v>46119.0</v>
      </c>
      <c r="C124" s="17" t="s">
        <v>228</v>
      </c>
      <c r="D124" s="18" t="s">
        <v>340</v>
      </c>
      <c r="E124" s="17" t="s">
        <v>341</v>
      </c>
      <c r="F124" s="17">
        <v>72.0</v>
      </c>
      <c r="G124" s="23" t="s">
        <v>332</v>
      </c>
      <c r="H124" s="24" t="s">
        <v>342</v>
      </c>
    </row>
    <row r="125" ht="22.5" customHeight="1">
      <c r="A125" s="21">
        <v>124.0</v>
      </c>
      <c r="B125" s="16">
        <v>46119.0</v>
      </c>
      <c r="C125" s="17" t="s">
        <v>12</v>
      </c>
      <c r="D125" s="18" t="s">
        <v>343</v>
      </c>
      <c r="E125" s="17" t="s">
        <v>344</v>
      </c>
      <c r="F125" s="17">
        <v>114.0</v>
      </c>
      <c r="G125" s="23" t="s">
        <v>345</v>
      </c>
      <c r="H125" s="24" t="s">
        <v>34</v>
      </c>
    </row>
    <row r="126" ht="22.5" customHeight="1">
      <c r="A126" s="21">
        <v>125.0</v>
      </c>
      <c r="B126" s="16">
        <v>46120.0</v>
      </c>
      <c r="C126" s="17" t="s">
        <v>28</v>
      </c>
      <c r="D126" s="18" t="s">
        <v>346</v>
      </c>
      <c r="E126" s="17" t="s">
        <v>347</v>
      </c>
      <c r="F126" s="17">
        <v>37.0</v>
      </c>
      <c r="H126" s="24" t="s">
        <v>348</v>
      </c>
    </row>
    <row r="127" ht="22.5" customHeight="1">
      <c r="A127" s="21">
        <v>126.0</v>
      </c>
      <c r="B127" s="16">
        <v>46120.0</v>
      </c>
      <c r="C127" s="17" t="s">
        <v>228</v>
      </c>
      <c r="D127" s="18" t="s">
        <v>306</v>
      </c>
      <c r="E127" s="17" t="s">
        <v>349</v>
      </c>
      <c r="F127" s="17">
        <v>90.0</v>
      </c>
      <c r="H127" s="24" t="s">
        <v>350</v>
      </c>
    </row>
    <row r="128" ht="22.5" customHeight="1">
      <c r="A128" s="21">
        <v>127.0</v>
      </c>
      <c r="B128" s="16">
        <v>46120.0</v>
      </c>
      <c r="C128" s="17" t="s">
        <v>12</v>
      </c>
      <c r="D128" s="18" t="s">
        <v>346</v>
      </c>
      <c r="E128" s="17" t="s">
        <v>351</v>
      </c>
      <c r="F128" s="17">
        <v>108.0</v>
      </c>
      <c r="H128" s="24" t="s">
        <v>47</v>
      </c>
    </row>
    <row r="129" ht="22.5" customHeight="1">
      <c r="A129" s="21">
        <v>128.0</v>
      </c>
      <c r="B129" s="16">
        <v>46120.0</v>
      </c>
      <c r="C129" s="17" t="s">
        <v>28</v>
      </c>
      <c r="D129" s="18" t="s">
        <v>346</v>
      </c>
      <c r="E129" s="17" t="s">
        <v>347</v>
      </c>
      <c r="F129" s="17">
        <v>37.0</v>
      </c>
    </row>
    <row r="130" ht="22.5" customHeight="1">
      <c r="A130" s="21">
        <v>129.0</v>
      </c>
      <c r="B130" s="16">
        <v>46121.0</v>
      </c>
      <c r="C130" s="17" t="s">
        <v>12</v>
      </c>
      <c r="D130" s="18" t="s">
        <v>352</v>
      </c>
      <c r="E130" s="17" t="s">
        <v>353</v>
      </c>
      <c r="F130" s="17">
        <v>118.0</v>
      </c>
      <c r="H130" s="24" t="s">
        <v>30</v>
      </c>
    </row>
    <row r="131" ht="22.5" customHeight="1">
      <c r="A131" s="21">
        <v>130.0</v>
      </c>
      <c r="B131" s="16">
        <v>46121.0</v>
      </c>
      <c r="C131" s="17" t="s">
        <v>228</v>
      </c>
      <c r="D131" s="18" t="s">
        <v>354</v>
      </c>
      <c r="E131" s="17" t="s">
        <v>355</v>
      </c>
      <c r="F131" s="17">
        <v>103.0</v>
      </c>
      <c r="G131" s="23" t="s">
        <v>356</v>
      </c>
      <c r="H131" s="24" t="s">
        <v>357</v>
      </c>
    </row>
    <row r="132" ht="22.5" customHeight="1">
      <c r="A132" s="21">
        <v>131.0</v>
      </c>
      <c r="B132" s="16">
        <v>46120.0</v>
      </c>
      <c r="C132" s="17" t="s">
        <v>28</v>
      </c>
      <c r="D132" s="18" t="s">
        <v>358</v>
      </c>
      <c r="E132" s="17" t="s">
        <v>359</v>
      </c>
      <c r="F132" s="17">
        <v>62.0</v>
      </c>
      <c r="H132" s="24" t="s">
        <v>360</v>
      </c>
    </row>
    <row r="133" ht="22.5" customHeight="1">
      <c r="A133" s="21">
        <v>132.0</v>
      </c>
      <c r="B133" s="16">
        <v>46122.0</v>
      </c>
      <c r="C133" s="17" t="s">
        <v>228</v>
      </c>
      <c r="D133" s="22"/>
      <c r="E133" s="17" t="s">
        <v>361</v>
      </c>
      <c r="F133" s="17">
        <v>72.0</v>
      </c>
      <c r="H133" s="24" t="s">
        <v>362</v>
      </c>
    </row>
    <row r="134" ht="22.5" customHeight="1">
      <c r="A134" s="21">
        <v>133.0</v>
      </c>
      <c r="B134" s="16">
        <v>46122.0</v>
      </c>
      <c r="C134" s="17" t="s">
        <v>12</v>
      </c>
      <c r="D134" s="18" t="s">
        <v>363</v>
      </c>
      <c r="E134" s="17" t="s">
        <v>364</v>
      </c>
      <c r="F134" s="17">
        <v>94.0</v>
      </c>
      <c r="G134" s="23" t="s">
        <v>365</v>
      </c>
      <c r="H134" s="24" t="s">
        <v>366</v>
      </c>
    </row>
    <row r="135" ht="22.5" customHeight="1">
      <c r="A135" s="21">
        <v>134.0</v>
      </c>
      <c r="B135" s="16">
        <v>46122.0</v>
      </c>
      <c r="C135" s="17" t="s">
        <v>28</v>
      </c>
      <c r="D135" s="18" t="s">
        <v>367</v>
      </c>
      <c r="E135" s="17" t="s">
        <v>368</v>
      </c>
      <c r="F135" s="17">
        <v>30.0</v>
      </c>
      <c r="H135" s="24" t="s">
        <v>360</v>
      </c>
    </row>
    <row r="136" ht="22.5" customHeight="1">
      <c r="A136" s="20"/>
      <c r="B136" s="20"/>
      <c r="C136" s="20"/>
      <c r="D136" s="22"/>
      <c r="E136" s="20"/>
      <c r="F136" s="20"/>
    </row>
    <row r="137" ht="22.5" customHeight="1">
      <c r="A137" s="20"/>
      <c r="B137" s="20"/>
      <c r="C137" s="20"/>
      <c r="D137" s="22"/>
      <c r="E137" s="20"/>
      <c r="F137" s="20"/>
    </row>
    <row r="138" ht="22.5" customHeight="1">
      <c r="A138" s="20"/>
      <c r="B138" s="20"/>
      <c r="C138" s="20"/>
      <c r="D138" s="22"/>
      <c r="E138" s="20"/>
      <c r="F138" s="20"/>
    </row>
    <row r="139" ht="22.5" customHeight="1">
      <c r="A139" s="20"/>
      <c r="B139" s="20"/>
      <c r="C139" s="20"/>
      <c r="D139" s="22"/>
      <c r="E139" s="20"/>
      <c r="F139" s="20"/>
    </row>
    <row r="140" ht="22.5" customHeight="1">
      <c r="A140" s="20"/>
      <c r="B140" s="20"/>
      <c r="C140" s="20"/>
      <c r="D140" s="22"/>
      <c r="E140" s="20"/>
      <c r="F140" s="20"/>
    </row>
    <row r="141" ht="22.5" customHeight="1">
      <c r="A141" s="20"/>
      <c r="B141" s="20"/>
      <c r="C141" s="20"/>
      <c r="D141" s="22"/>
      <c r="E141" s="20"/>
      <c r="F141" s="20"/>
    </row>
    <row r="142" ht="22.5" customHeight="1">
      <c r="A142" s="20"/>
      <c r="B142" s="20"/>
      <c r="C142" s="20"/>
      <c r="D142" s="22"/>
      <c r="E142" s="20"/>
      <c r="F142" s="20"/>
    </row>
    <row r="143" ht="22.5" customHeight="1">
      <c r="A143" s="20"/>
      <c r="B143" s="20"/>
      <c r="C143" s="20"/>
      <c r="D143" s="22"/>
      <c r="E143" s="20"/>
      <c r="F143" s="20"/>
    </row>
    <row r="144" ht="22.5" customHeight="1">
      <c r="A144" s="20"/>
      <c r="B144" s="20"/>
      <c r="C144" s="20"/>
      <c r="D144" s="22"/>
      <c r="E144" s="20"/>
      <c r="F144" s="20"/>
    </row>
    <row r="145" ht="22.5" customHeight="1">
      <c r="A145" s="20"/>
      <c r="B145" s="20"/>
      <c r="C145" s="20"/>
      <c r="D145" s="22"/>
      <c r="E145" s="20"/>
      <c r="F145" s="20"/>
    </row>
    <row r="146" ht="22.5" customHeight="1">
      <c r="A146" s="20"/>
      <c r="B146" s="20"/>
      <c r="C146" s="20"/>
      <c r="D146" s="22"/>
      <c r="E146" s="20"/>
      <c r="F146" s="20"/>
    </row>
    <row r="147" ht="22.5" customHeight="1">
      <c r="A147" s="20"/>
      <c r="B147" s="20"/>
      <c r="C147" s="20"/>
      <c r="D147" s="22"/>
      <c r="E147" s="20"/>
      <c r="F147" s="20"/>
    </row>
    <row r="148" ht="22.5" customHeight="1">
      <c r="A148" s="20"/>
      <c r="B148" s="20"/>
      <c r="C148" s="20"/>
      <c r="D148" s="22"/>
      <c r="E148" s="20"/>
      <c r="F148" s="20"/>
    </row>
    <row r="149" ht="22.5" customHeight="1">
      <c r="A149" s="20"/>
      <c r="B149" s="20"/>
      <c r="C149" s="20"/>
      <c r="D149" s="22"/>
      <c r="E149" s="20"/>
      <c r="F149" s="20"/>
    </row>
    <row r="150" ht="22.5" customHeight="1">
      <c r="A150" s="20"/>
      <c r="B150" s="20"/>
      <c r="C150" s="20"/>
      <c r="D150" s="22"/>
      <c r="E150" s="20"/>
      <c r="F150" s="20"/>
    </row>
    <row r="151" ht="22.5" customHeight="1">
      <c r="A151" s="20"/>
      <c r="B151" s="20"/>
      <c r="C151" s="20"/>
      <c r="D151" s="22"/>
      <c r="E151" s="20"/>
      <c r="F151" s="20"/>
    </row>
    <row r="152" ht="22.5" customHeight="1">
      <c r="A152" s="20"/>
      <c r="B152" s="20"/>
      <c r="C152" s="20"/>
      <c r="D152" s="22"/>
      <c r="E152" s="20"/>
      <c r="F152" s="20"/>
    </row>
    <row r="153" ht="22.5" customHeight="1">
      <c r="A153" s="20"/>
      <c r="B153" s="20"/>
      <c r="C153" s="20"/>
      <c r="D153" s="22"/>
      <c r="E153" s="20"/>
      <c r="F153" s="20"/>
    </row>
    <row r="154" ht="22.5" customHeight="1">
      <c r="A154" s="20"/>
      <c r="B154" s="20"/>
      <c r="C154" s="20"/>
      <c r="D154" s="22"/>
      <c r="E154" s="20"/>
      <c r="F154" s="20"/>
    </row>
    <row r="155" ht="22.5" customHeight="1">
      <c r="A155" s="20"/>
      <c r="B155" s="20"/>
      <c r="C155" s="20"/>
      <c r="D155" s="22"/>
      <c r="E155" s="20"/>
      <c r="F155" s="20"/>
    </row>
    <row r="156" ht="22.5" customHeight="1">
      <c r="A156" s="20"/>
      <c r="B156" s="20"/>
      <c r="C156" s="20"/>
      <c r="D156" s="22"/>
      <c r="E156" s="20"/>
      <c r="F156" s="20"/>
    </row>
    <row r="157" ht="22.5" customHeight="1">
      <c r="A157" s="20"/>
      <c r="B157" s="20"/>
      <c r="C157" s="20"/>
      <c r="D157" s="22"/>
      <c r="E157" s="20"/>
      <c r="F157" s="20"/>
    </row>
    <row r="158" ht="22.5" customHeight="1">
      <c r="A158" s="20"/>
      <c r="B158" s="20"/>
      <c r="C158" s="20"/>
      <c r="D158" s="22"/>
      <c r="E158" s="20"/>
      <c r="F158" s="20"/>
    </row>
    <row r="159" ht="22.5" customHeight="1">
      <c r="A159" s="20"/>
      <c r="B159" s="20"/>
      <c r="C159" s="20"/>
      <c r="D159" s="22"/>
      <c r="E159" s="20"/>
      <c r="F159" s="20"/>
    </row>
    <row r="160" ht="22.5" customHeight="1">
      <c r="A160" s="20"/>
      <c r="B160" s="20"/>
      <c r="C160" s="20"/>
      <c r="D160" s="22"/>
      <c r="E160" s="20"/>
      <c r="F160" s="20"/>
    </row>
    <row r="161" ht="22.5" customHeight="1">
      <c r="A161" s="20"/>
      <c r="B161" s="20"/>
      <c r="C161" s="20"/>
      <c r="D161" s="22"/>
      <c r="E161" s="20"/>
      <c r="F161" s="20"/>
    </row>
    <row r="162" ht="22.5" customHeight="1">
      <c r="A162" s="20"/>
      <c r="B162" s="20"/>
      <c r="C162" s="20"/>
      <c r="D162" s="22"/>
      <c r="E162" s="20"/>
      <c r="F162" s="20"/>
    </row>
    <row r="163" ht="22.5" customHeight="1">
      <c r="A163" s="20"/>
      <c r="B163" s="20"/>
      <c r="C163" s="20"/>
      <c r="D163" s="22"/>
      <c r="E163" s="20"/>
      <c r="F163" s="20"/>
    </row>
    <row r="164" ht="22.5" customHeight="1">
      <c r="A164" s="20"/>
      <c r="B164" s="20"/>
      <c r="C164" s="20"/>
      <c r="D164" s="22"/>
      <c r="E164" s="20"/>
      <c r="F164" s="20"/>
    </row>
    <row r="165" ht="22.5" customHeight="1">
      <c r="A165" s="20"/>
      <c r="B165" s="20"/>
      <c r="C165" s="20"/>
      <c r="D165" s="22"/>
      <c r="E165" s="20"/>
      <c r="F165" s="20"/>
    </row>
    <row r="166" ht="22.5" customHeight="1">
      <c r="A166" s="20"/>
      <c r="B166" s="20"/>
      <c r="C166" s="20"/>
      <c r="D166" s="22"/>
      <c r="E166" s="20"/>
      <c r="F166" s="20"/>
    </row>
    <row r="167" ht="22.5" customHeight="1">
      <c r="A167" s="20"/>
      <c r="B167" s="20"/>
      <c r="C167" s="20"/>
      <c r="D167" s="22"/>
      <c r="E167" s="20"/>
      <c r="F167" s="20"/>
    </row>
    <row r="168" ht="22.5" customHeight="1">
      <c r="A168" s="20"/>
      <c r="B168" s="20"/>
      <c r="C168" s="20"/>
      <c r="D168" s="22"/>
      <c r="E168" s="20"/>
      <c r="F168" s="20"/>
    </row>
    <row r="169" ht="22.5" customHeight="1">
      <c r="A169" s="20"/>
      <c r="B169" s="20"/>
      <c r="C169" s="20"/>
      <c r="D169" s="22"/>
      <c r="E169" s="20"/>
      <c r="F169" s="20"/>
    </row>
    <row r="170" ht="22.5" customHeight="1">
      <c r="A170" s="20"/>
      <c r="B170" s="20"/>
      <c r="C170" s="20"/>
      <c r="D170" s="22"/>
      <c r="E170" s="20"/>
      <c r="F170" s="20"/>
    </row>
    <row r="171" ht="22.5" customHeight="1">
      <c r="A171" s="20"/>
      <c r="B171" s="20"/>
      <c r="C171" s="20"/>
      <c r="D171" s="22"/>
      <c r="E171" s="20"/>
      <c r="F171" s="20"/>
    </row>
    <row r="172" ht="22.5" customHeight="1">
      <c r="A172" s="20"/>
      <c r="B172" s="20"/>
      <c r="C172" s="20"/>
      <c r="D172" s="22"/>
      <c r="E172" s="20"/>
      <c r="F172" s="20"/>
    </row>
    <row r="173" ht="22.5" customHeight="1">
      <c r="A173" s="20"/>
      <c r="B173" s="20"/>
      <c r="C173" s="20"/>
      <c r="D173" s="22"/>
      <c r="E173" s="20"/>
      <c r="F173" s="20"/>
    </row>
    <row r="174" ht="22.5" customHeight="1">
      <c r="A174" s="20"/>
      <c r="B174" s="20"/>
      <c r="C174" s="20"/>
      <c r="D174" s="22"/>
      <c r="E174" s="20"/>
      <c r="F174" s="20"/>
    </row>
    <row r="175" ht="22.5" customHeight="1">
      <c r="A175" s="20"/>
      <c r="B175" s="20"/>
      <c r="C175" s="20"/>
      <c r="D175" s="22"/>
      <c r="E175" s="20"/>
      <c r="F175" s="20"/>
    </row>
    <row r="176" ht="22.5" customHeight="1">
      <c r="A176" s="20"/>
      <c r="B176" s="20"/>
      <c r="C176" s="20"/>
      <c r="D176" s="22"/>
      <c r="E176" s="20"/>
      <c r="F176" s="20"/>
    </row>
    <row r="177" ht="22.5" customHeight="1">
      <c r="A177" s="20"/>
      <c r="B177" s="20"/>
      <c r="C177" s="20"/>
      <c r="D177" s="22"/>
      <c r="E177" s="20"/>
      <c r="F177" s="20"/>
    </row>
    <row r="178" ht="22.5" customHeight="1">
      <c r="A178" s="20"/>
      <c r="B178" s="20"/>
      <c r="C178" s="20"/>
      <c r="D178" s="22"/>
      <c r="E178" s="20"/>
      <c r="F178" s="20"/>
    </row>
    <row r="179" ht="22.5" customHeight="1">
      <c r="A179" s="20"/>
      <c r="B179" s="20"/>
      <c r="C179" s="20"/>
      <c r="D179" s="22"/>
      <c r="E179" s="20"/>
      <c r="F179" s="20"/>
    </row>
    <row r="180" ht="22.5" customHeight="1">
      <c r="A180" s="20"/>
      <c r="B180" s="20"/>
      <c r="C180" s="20"/>
      <c r="D180" s="22"/>
      <c r="E180" s="20"/>
      <c r="F180" s="20"/>
    </row>
    <row r="181" ht="22.5" customHeight="1">
      <c r="A181" s="20"/>
      <c r="B181" s="20"/>
      <c r="C181" s="20"/>
      <c r="D181" s="22"/>
      <c r="E181" s="20"/>
      <c r="F181" s="20"/>
    </row>
    <row r="182" ht="22.5" customHeight="1">
      <c r="A182" s="20"/>
      <c r="B182" s="20"/>
      <c r="C182" s="20"/>
      <c r="D182" s="22"/>
      <c r="E182" s="20"/>
      <c r="F182" s="20"/>
    </row>
    <row r="183" ht="22.5" customHeight="1">
      <c r="A183" s="20"/>
      <c r="B183" s="20"/>
      <c r="C183" s="20"/>
      <c r="D183" s="22"/>
      <c r="E183" s="20"/>
      <c r="F183" s="20"/>
    </row>
    <row r="184" ht="22.5" customHeight="1">
      <c r="A184" s="20"/>
      <c r="B184" s="20"/>
      <c r="C184" s="20"/>
      <c r="D184" s="22"/>
      <c r="E184" s="20"/>
      <c r="F184" s="20"/>
    </row>
    <row r="185" ht="22.5" customHeight="1">
      <c r="A185" s="20"/>
      <c r="B185" s="20"/>
      <c r="C185" s="20"/>
      <c r="D185" s="22"/>
      <c r="E185" s="20"/>
      <c r="F185" s="20"/>
    </row>
    <row r="186" ht="22.5" customHeight="1">
      <c r="A186" s="20"/>
      <c r="B186" s="20"/>
      <c r="C186" s="20"/>
      <c r="D186" s="22"/>
      <c r="E186" s="20"/>
      <c r="F186" s="20"/>
    </row>
    <row r="187" ht="22.5" customHeight="1">
      <c r="A187" s="20"/>
      <c r="B187" s="20"/>
      <c r="C187" s="20"/>
      <c r="D187" s="22"/>
      <c r="E187" s="20"/>
      <c r="F187" s="20"/>
    </row>
    <row r="188" ht="22.5" customHeight="1">
      <c r="A188" s="20"/>
      <c r="B188" s="20"/>
      <c r="C188" s="20"/>
      <c r="D188" s="22"/>
      <c r="E188" s="20"/>
      <c r="F188" s="20"/>
    </row>
    <row r="189" ht="22.5" customHeight="1">
      <c r="A189" s="20"/>
      <c r="B189" s="20"/>
      <c r="C189" s="20"/>
      <c r="D189" s="22"/>
      <c r="E189" s="20"/>
      <c r="F189" s="20"/>
    </row>
    <row r="190" ht="22.5" customHeight="1">
      <c r="A190" s="20"/>
      <c r="B190" s="20"/>
      <c r="C190" s="20"/>
      <c r="D190" s="22"/>
      <c r="E190" s="20"/>
      <c r="F190" s="20"/>
    </row>
    <row r="191" ht="22.5" customHeight="1">
      <c r="A191" s="20"/>
      <c r="B191" s="20"/>
      <c r="C191" s="20"/>
      <c r="D191" s="22"/>
      <c r="E191" s="20"/>
      <c r="F191" s="20"/>
    </row>
    <row r="192" ht="22.5" customHeight="1">
      <c r="A192" s="20"/>
      <c r="B192" s="20"/>
      <c r="C192" s="20"/>
      <c r="D192" s="22"/>
      <c r="E192" s="20"/>
      <c r="F192" s="20"/>
    </row>
    <row r="193" ht="22.5" customHeight="1">
      <c r="A193" s="20"/>
      <c r="B193" s="20"/>
      <c r="C193" s="20"/>
      <c r="D193" s="22"/>
      <c r="E193" s="20"/>
      <c r="F193" s="20"/>
    </row>
    <row r="194" ht="22.5" customHeight="1">
      <c r="A194" s="20"/>
      <c r="B194" s="20"/>
      <c r="C194" s="20"/>
      <c r="D194" s="22"/>
      <c r="E194" s="20"/>
      <c r="F194" s="20"/>
    </row>
    <row r="195" ht="22.5" customHeight="1">
      <c r="A195" s="20"/>
      <c r="B195" s="20"/>
      <c r="C195" s="20"/>
      <c r="D195" s="22"/>
      <c r="E195" s="20"/>
      <c r="F195" s="20"/>
    </row>
    <row r="196" ht="22.5" customHeight="1">
      <c r="A196" s="20"/>
      <c r="B196" s="20"/>
      <c r="C196" s="20"/>
      <c r="D196" s="22"/>
      <c r="E196" s="20"/>
      <c r="F196" s="20"/>
    </row>
    <row r="197" ht="22.5" customHeight="1">
      <c r="A197" s="20"/>
      <c r="B197" s="20"/>
      <c r="C197" s="20"/>
      <c r="D197" s="22"/>
      <c r="E197" s="20"/>
      <c r="F197" s="20"/>
    </row>
    <row r="198" ht="22.5" customHeight="1">
      <c r="A198" s="20"/>
      <c r="B198" s="20"/>
      <c r="C198" s="20"/>
      <c r="D198" s="22"/>
      <c r="E198" s="20"/>
      <c r="F198" s="20"/>
    </row>
    <row r="199" ht="22.5" customHeight="1">
      <c r="A199" s="20"/>
      <c r="B199" s="20"/>
      <c r="C199" s="20"/>
      <c r="D199" s="22"/>
      <c r="E199" s="20"/>
      <c r="F199" s="20"/>
    </row>
    <row r="200" ht="22.5" customHeight="1">
      <c r="A200" s="20"/>
      <c r="B200" s="20"/>
      <c r="C200" s="20"/>
      <c r="D200" s="22"/>
      <c r="E200" s="20"/>
      <c r="F200" s="20"/>
    </row>
    <row r="201" ht="22.5" customHeight="1">
      <c r="A201" s="20"/>
      <c r="B201" s="20"/>
      <c r="C201" s="20"/>
      <c r="D201" s="22"/>
      <c r="E201" s="20"/>
      <c r="F201" s="20"/>
    </row>
    <row r="202" ht="22.5" customHeight="1">
      <c r="A202" s="20"/>
      <c r="B202" s="20"/>
      <c r="C202" s="20"/>
      <c r="D202" s="22"/>
      <c r="E202" s="20"/>
      <c r="F202" s="20"/>
    </row>
    <row r="203" ht="22.5" customHeight="1">
      <c r="A203" s="20"/>
      <c r="B203" s="20"/>
      <c r="C203" s="20"/>
      <c r="D203" s="22"/>
      <c r="E203" s="20"/>
      <c r="F203" s="20"/>
    </row>
    <row r="204" ht="22.5" customHeight="1">
      <c r="A204" s="20"/>
      <c r="B204" s="20"/>
      <c r="C204" s="20"/>
      <c r="D204" s="22"/>
      <c r="E204" s="20"/>
      <c r="F204" s="20"/>
    </row>
    <row r="205" ht="22.5" customHeight="1">
      <c r="A205" s="20"/>
      <c r="B205" s="20"/>
      <c r="C205" s="20"/>
      <c r="D205" s="22"/>
      <c r="E205" s="20"/>
      <c r="F205" s="20"/>
    </row>
    <row r="206" ht="22.5" customHeight="1">
      <c r="A206" s="20"/>
      <c r="B206" s="20"/>
      <c r="C206" s="20"/>
      <c r="D206" s="22"/>
      <c r="E206" s="20"/>
      <c r="F206" s="20"/>
    </row>
    <row r="207" ht="22.5" customHeight="1">
      <c r="A207" s="20"/>
      <c r="B207" s="20"/>
      <c r="C207" s="20"/>
      <c r="D207" s="22"/>
      <c r="E207" s="20"/>
      <c r="F207" s="20"/>
    </row>
    <row r="208" ht="22.5" customHeight="1">
      <c r="A208" s="20"/>
      <c r="B208" s="20"/>
      <c r="C208" s="20"/>
      <c r="D208" s="22"/>
      <c r="E208" s="20"/>
      <c r="F208" s="20"/>
    </row>
    <row r="209" ht="22.5" customHeight="1">
      <c r="A209" s="20"/>
      <c r="B209" s="20"/>
      <c r="C209" s="20"/>
      <c r="D209" s="22"/>
      <c r="E209" s="20"/>
      <c r="F209" s="20"/>
    </row>
    <row r="210" ht="22.5" customHeight="1">
      <c r="A210" s="20"/>
      <c r="B210" s="20"/>
      <c r="C210" s="20"/>
      <c r="D210" s="22"/>
      <c r="E210" s="20"/>
      <c r="F210" s="20"/>
    </row>
    <row r="211" ht="22.5" customHeight="1">
      <c r="A211" s="20"/>
      <c r="B211" s="20"/>
      <c r="C211" s="20"/>
      <c r="D211" s="22"/>
      <c r="E211" s="20"/>
      <c r="F211" s="20"/>
    </row>
    <row r="212" ht="22.5" customHeight="1">
      <c r="A212" s="20"/>
      <c r="B212" s="20"/>
      <c r="C212" s="20"/>
      <c r="D212" s="22"/>
      <c r="E212" s="20"/>
      <c r="F212" s="20"/>
    </row>
    <row r="213" ht="22.5" customHeight="1">
      <c r="A213" s="20"/>
      <c r="B213" s="20"/>
      <c r="C213" s="20"/>
      <c r="D213" s="22"/>
      <c r="E213" s="20"/>
      <c r="F213" s="20"/>
    </row>
    <row r="214" ht="22.5" customHeight="1">
      <c r="A214" s="20"/>
      <c r="B214" s="20"/>
      <c r="C214" s="20"/>
      <c r="D214" s="22"/>
      <c r="E214" s="20"/>
      <c r="F214" s="20"/>
    </row>
    <row r="215" ht="22.5" customHeight="1">
      <c r="A215" s="20"/>
      <c r="B215" s="20"/>
      <c r="C215" s="20"/>
      <c r="D215" s="22"/>
      <c r="E215" s="20"/>
      <c r="F215" s="20"/>
    </row>
    <row r="216" ht="22.5" customHeight="1">
      <c r="A216" s="20"/>
      <c r="B216" s="20"/>
      <c r="C216" s="20"/>
      <c r="D216" s="22"/>
      <c r="E216" s="20"/>
      <c r="F216" s="20"/>
    </row>
    <row r="217" ht="22.5" customHeight="1">
      <c r="A217" s="20"/>
      <c r="B217" s="20"/>
      <c r="C217" s="20"/>
      <c r="D217" s="22"/>
      <c r="E217" s="20"/>
      <c r="F217" s="20"/>
    </row>
    <row r="218" ht="22.5" customHeight="1">
      <c r="A218" s="20"/>
      <c r="B218" s="20"/>
      <c r="C218" s="20"/>
      <c r="D218" s="22"/>
      <c r="E218" s="20"/>
      <c r="F218" s="20"/>
    </row>
    <row r="219" ht="22.5" customHeight="1">
      <c r="A219" s="20"/>
      <c r="B219" s="20"/>
      <c r="C219" s="20"/>
      <c r="D219" s="22"/>
      <c r="E219" s="20"/>
      <c r="F219" s="20"/>
    </row>
    <row r="220" ht="22.5" customHeight="1">
      <c r="A220" s="20"/>
      <c r="B220" s="20"/>
      <c r="C220" s="20"/>
      <c r="D220" s="22"/>
      <c r="E220" s="20"/>
      <c r="F220" s="20"/>
    </row>
    <row r="221" ht="22.5" customHeight="1">
      <c r="A221" s="20"/>
      <c r="B221" s="20"/>
      <c r="C221" s="20"/>
      <c r="D221" s="22"/>
      <c r="E221" s="20"/>
      <c r="F221" s="20"/>
    </row>
    <row r="222" ht="22.5" customHeight="1">
      <c r="A222" s="20"/>
      <c r="B222" s="20"/>
      <c r="C222" s="20"/>
      <c r="D222" s="22"/>
      <c r="E222" s="20"/>
      <c r="F222" s="20"/>
    </row>
    <row r="223" ht="22.5" customHeight="1">
      <c r="A223" s="20"/>
      <c r="B223" s="20"/>
      <c r="C223" s="20"/>
      <c r="D223" s="22"/>
      <c r="E223" s="20"/>
      <c r="F223" s="20"/>
    </row>
    <row r="224" ht="22.5" customHeight="1">
      <c r="A224" s="20"/>
      <c r="B224" s="20"/>
      <c r="C224" s="20"/>
      <c r="D224" s="22"/>
      <c r="E224" s="20"/>
      <c r="F224" s="20"/>
    </row>
    <row r="225" ht="22.5" customHeight="1">
      <c r="A225" s="20"/>
      <c r="B225" s="20"/>
      <c r="C225" s="20"/>
      <c r="D225" s="22"/>
      <c r="E225" s="20"/>
      <c r="F225" s="20"/>
    </row>
    <row r="226" ht="22.5" customHeight="1">
      <c r="A226" s="20"/>
      <c r="B226" s="20"/>
      <c r="C226" s="20"/>
      <c r="D226" s="22"/>
      <c r="E226" s="20"/>
      <c r="F226" s="20"/>
    </row>
    <row r="227" ht="22.5" customHeight="1">
      <c r="A227" s="20"/>
      <c r="B227" s="20"/>
      <c r="C227" s="20"/>
      <c r="D227" s="22"/>
      <c r="E227" s="20"/>
      <c r="F227" s="20"/>
    </row>
    <row r="228" ht="22.5" customHeight="1">
      <c r="A228" s="20"/>
      <c r="B228" s="20"/>
      <c r="C228" s="20"/>
      <c r="D228" s="22"/>
      <c r="E228" s="20"/>
      <c r="F228" s="20"/>
    </row>
    <row r="229" ht="22.5" customHeight="1">
      <c r="A229" s="20"/>
      <c r="B229" s="20"/>
      <c r="C229" s="20"/>
      <c r="D229" s="22"/>
      <c r="E229" s="20"/>
      <c r="F229" s="20"/>
    </row>
    <row r="230" ht="22.5" customHeight="1">
      <c r="A230" s="20"/>
      <c r="B230" s="20"/>
      <c r="C230" s="20"/>
      <c r="D230" s="22"/>
      <c r="E230" s="20"/>
      <c r="F230" s="20"/>
    </row>
    <row r="231" ht="22.5" customHeight="1">
      <c r="A231" s="20"/>
      <c r="B231" s="20"/>
      <c r="C231" s="20"/>
      <c r="D231" s="22"/>
      <c r="E231" s="20"/>
      <c r="F231" s="20"/>
    </row>
    <row r="232" ht="22.5" customHeight="1">
      <c r="A232" s="20"/>
      <c r="B232" s="20"/>
      <c r="C232" s="20"/>
      <c r="D232" s="22"/>
      <c r="E232" s="20"/>
      <c r="F232" s="20"/>
    </row>
    <row r="233" ht="22.5" customHeight="1">
      <c r="A233" s="20"/>
      <c r="B233" s="20"/>
      <c r="C233" s="20"/>
      <c r="D233" s="22"/>
      <c r="E233" s="20"/>
      <c r="F233" s="20"/>
    </row>
    <row r="234" ht="22.5" customHeight="1">
      <c r="A234" s="20"/>
      <c r="B234" s="20"/>
      <c r="C234" s="20"/>
      <c r="D234" s="22"/>
      <c r="E234" s="20"/>
      <c r="F234" s="20"/>
    </row>
    <row r="235" ht="22.5" customHeight="1">
      <c r="A235" s="20"/>
      <c r="B235" s="20"/>
      <c r="C235" s="20"/>
      <c r="D235" s="22"/>
      <c r="E235" s="20"/>
      <c r="F235" s="20"/>
    </row>
    <row r="236" ht="22.5" customHeight="1">
      <c r="A236" s="20"/>
      <c r="B236" s="20"/>
      <c r="C236" s="20"/>
      <c r="D236" s="22"/>
      <c r="E236" s="20"/>
      <c r="F236" s="20"/>
    </row>
    <row r="237" ht="22.5" customHeight="1">
      <c r="A237" s="20"/>
      <c r="B237" s="20"/>
      <c r="C237" s="20"/>
      <c r="D237" s="22"/>
      <c r="E237" s="20"/>
      <c r="F237" s="20"/>
    </row>
    <row r="238" ht="22.5" customHeight="1">
      <c r="A238" s="20"/>
      <c r="B238" s="20"/>
      <c r="C238" s="20"/>
      <c r="D238" s="22"/>
      <c r="E238" s="20"/>
      <c r="F238" s="20"/>
    </row>
    <row r="239" ht="22.5" customHeight="1">
      <c r="A239" s="20"/>
      <c r="B239" s="20"/>
      <c r="C239" s="20"/>
      <c r="D239" s="22"/>
      <c r="E239" s="20"/>
      <c r="F239" s="20"/>
    </row>
    <row r="240" ht="22.5" customHeight="1">
      <c r="A240" s="20"/>
      <c r="B240" s="20"/>
      <c r="C240" s="20"/>
      <c r="D240" s="22"/>
      <c r="E240" s="20"/>
      <c r="F240" s="20"/>
    </row>
    <row r="241" ht="22.5" customHeight="1">
      <c r="A241" s="20"/>
      <c r="B241" s="20"/>
      <c r="C241" s="20"/>
      <c r="D241" s="22"/>
      <c r="E241" s="20"/>
      <c r="F241" s="20"/>
    </row>
    <row r="242" ht="22.5" customHeight="1">
      <c r="A242" s="20"/>
      <c r="B242" s="20"/>
      <c r="C242" s="20"/>
      <c r="D242" s="22"/>
      <c r="E242" s="20"/>
      <c r="F242" s="20"/>
    </row>
    <row r="243" ht="22.5" customHeight="1">
      <c r="A243" s="20"/>
      <c r="B243" s="20"/>
      <c r="C243" s="20"/>
      <c r="D243" s="22"/>
      <c r="E243" s="20"/>
      <c r="F243" s="20"/>
    </row>
    <row r="244" ht="22.5" customHeight="1">
      <c r="A244" s="20"/>
      <c r="B244" s="20"/>
      <c r="C244" s="20"/>
      <c r="D244" s="22"/>
      <c r="E244" s="20"/>
      <c r="F244" s="20"/>
    </row>
    <row r="245" ht="22.5" customHeight="1">
      <c r="A245" s="20"/>
      <c r="B245" s="20"/>
      <c r="C245" s="20"/>
      <c r="D245" s="22"/>
      <c r="E245" s="20"/>
      <c r="F245" s="20"/>
    </row>
    <row r="246" ht="22.5" customHeight="1">
      <c r="A246" s="20"/>
      <c r="B246" s="20"/>
      <c r="C246" s="20"/>
      <c r="D246" s="22"/>
      <c r="E246" s="20"/>
      <c r="F246" s="20"/>
    </row>
    <row r="247" ht="22.5" customHeight="1">
      <c r="A247" s="20"/>
      <c r="B247" s="20"/>
      <c r="C247" s="20"/>
      <c r="D247" s="22"/>
      <c r="E247" s="20"/>
      <c r="F247" s="20"/>
    </row>
    <row r="248" ht="22.5" customHeight="1">
      <c r="A248" s="20"/>
      <c r="B248" s="20"/>
      <c r="C248" s="20"/>
      <c r="D248" s="22"/>
      <c r="E248" s="20"/>
      <c r="F248" s="20"/>
    </row>
    <row r="249" ht="22.5" customHeight="1">
      <c r="A249" s="20"/>
      <c r="B249" s="20"/>
      <c r="C249" s="20"/>
      <c r="D249" s="22"/>
      <c r="E249" s="20"/>
      <c r="F249" s="20"/>
    </row>
    <row r="250" ht="22.5" customHeight="1">
      <c r="A250" s="20"/>
      <c r="B250" s="20"/>
      <c r="C250" s="20"/>
      <c r="D250" s="22"/>
      <c r="E250" s="20"/>
      <c r="F250" s="20"/>
    </row>
    <row r="251" ht="22.5" customHeight="1">
      <c r="A251" s="20"/>
      <c r="B251" s="20"/>
      <c r="C251" s="20"/>
      <c r="D251" s="22"/>
      <c r="E251" s="20"/>
      <c r="F251" s="20"/>
    </row>
    <row r="252" ht="22.5" customHeight="1">
      <c r="A252" s="20"/>
      <c r="B252" s="20"/>
      <c r="C252" s="20"/>
      <c r="D252" s="22"/>
      <c r="E252" s="20"/>
      <c r="F252" s="20"/>
    </row>
    <row r="253" ht="22.5" customHeight="1">
      <c r="A253" s="20"/>
      <c r="B253" s="20"/>
      <c r="C253" s="20"/>
      <c r="D253" s="22"/>
      <c r="E253" s="20"/>
      <c r="F253" s="20"/>
    </row>
    <row r="254" ht="22.5" customHeight="1">
      <c r="A254" s="20"/>
      <c r="B254" s="20"/>
      <c r="C254" s="20"/>
      <c r="D254" s="22"/>
      <c r="E254" s="20"/>
      <c r="F254" s="20"/>
    </row>
    <row r="255" ht="22.5" customHeight="1">
      <c r="A255" s="20"/>
      <c r="B255" s="20"/>
      <c r="C255" s="20"/>
      <c r="D255" s="22"/>
      <c r="E255" s="20"/>
      <c r="F255" s="20"/>
    </row>
    <row r="256" ht="22.5" customHeight="1">
      <c r="A256" s="20"/>
      <c r="B256" s="20"/>
      <c r="C256" s="20"/>
      <c r="D256" s="22"/>
      <c r="E256" s="20"/>
      <c r="F256" s="20"/>
    </row>
    <row r="257" ht="22.5" customHeight="1">
      <c r="A257" s="20"/>
      <c r="B257" s="20"/>
      <c r="C257" s="20"/>
      <c r="D257" s="22"/>
      <c r="E257" s="20"/>
      <c r="F257" s="20"/>
    </row>
    <row r="258" ht="22.5" customHeight="1">
      <c r="A258" s="20"/>
      <c r="B258" s="20"/>
      <c r="C258" s="20"/>
      <c r="D258" s="22"/>
      <c r="E258" s="20"/>
      <c r="F258" s="20"/>
    </row>
    <row r="259" ht="22.5" customHeight="1">
      <c r="A259" s="20"/>
      <c r="B259" s="20"/>
      <c r="C259" s="20"/>
      <c r="D259" s="22"/>
      <c r="E259" s="20"/>
      <c r="F259" s="20"/>
    </row>
    <row r="260" ht="22.5" customHeight="1">
      <c r="A260" s="20"/>
      <c r="B260" s="20"/>
      <c r="C260" s="20"/>
      <c r="D260" s="22"/>
      <c r="E260" s="20"/>
      <c r="F260" s="20"/>
    </row>
    <row r="261" ht="22.5" customHeight="1">
      <c r="A261" s="20"/>
      <c r="B261" s="20"/>
      <c r="C261" s="20"/>
      <c r="D261" s="22"/>
      <c r="E261" s="20"/>
      <c r="F261" s="20"/>
    </row>
    <row r="262" ht="22.5" customHeight="1">
      <c r="A262" s="20"/>
      <c r="B262" s="20"/>
      <c r="C262" s="20"/>
      <c r="D262" s="22"/>
      <c r="E262" s="20"/>
      <c r="F262" s="20"/>
    </row>
    <row r="263" ht="22.5" customHeight="1">
      <c r="A263" s="20"/>
      <c r="B263" s="20"/>
      <c r="C263" s="20"/>
      <c r="D263" s="22"/>
      <c r="E263" s="20"/>
      <c r="F263" s="20"/>
    </row>
    <row r="264" ht="22.5" customHeight="1">
      <c r="A264" s="20"/>
      <c r="B264" s="20"/>
      <c r="C264" s="20"/>
      <c r="D264" s="22"/>
      <c r="E264" s="20"/>
      <c r="F264" s="20"/>
    </row>
    <row r="265" ht="22.5" customHeight="1">
      <c r="A265" s="20"/>
      <c r="B265" s="20"/>
      <c r="C265" s="20"/>
      <c r="D265" s="22"/>
      <c r="E265" s="20"/>
      <c r="F265" s="20"/>
    </row>
    <row r="266" ht="22.5" customHeight="1">
      <c r="A266" s="20"/>
      <c r="B266" s="20"/>
      <c r="C266" s="20"/>
      <c r="D266" s="22"/>
      <c r="E266" s="20"/>
      <c r="F266" s="20"/>
    </row>
    <row r="267" ht="22.5" customHeight="1">
      <c r="A267" s="20"/>
      <c r="B267" s="20"/>
      <c r="C267" s="20"/>
      <c r="D267" s="22"/>
      <c r="E267" s="20"/>
      <c r="F267" s="20"/>
    </row>
    <row r="268" ht="22.5" customHeight="1">
      <c r="A268" s="20"/>
      <c r="B268" s="20"/>
      <c r="C268" s="20"/>
      <c r="D268" s="22"/>
      <c r="E268" s="20"/>
      <c r="F268" s="20"/>
    </row>
    <row r="269" ht="22.5" customHeight="1">
      <c r="A269" s="20"/>
      <c r="B269" s="20"/>
      <c r="C269" s="20"/>
      <c r="D269" s="22"/>
      <c r="E269" s="20"/>
      <c r="F269" s="20"/>
    </row>
    <row r="270" ht="22.5" customHeight="1">
      <c r="A270" s="20"/>
      <c r="B270" s="20"/>
      <c r="C270" s="20"/>
      <c r="D270" s="22"/>
      <c r="E270" s="20"/>
      <c r="F270" s="20"/>
    </row>
    <row r="271" ht="22.5" customHeight="1">
      <c r="A271" s="20"/>
      <c r="B271" s="20"/>
      <c r="C271" s="20"/>
      <c r="D271" s="22"/>
      <c r="E271" s="20"/>
      <c r="F271" s="20"/>
    </row>
    <row r="272" ht="22.5" customHeight="1">
      <c r="A272" s="20"/>
      <c r="B272" s="20"/>
      <c r="C272" s="20"/>
      <c r="D272" s="22"/>
      <c r="E272" s="20"/>
      <c r="F272" s="20"/>
    </row>
    <row r="273" ht="22.5" customHeight="1">
      <c r="A273" s="20"/>
      <c r="B273" s="20"/>
      <c r="C273" s="20"/>
      <c r="D273" s="22"/>
      <c r="E273" s="20"/>
      <c r="F273" s="20"/>
    </row>
    <row r="274" ht="22.5" customHeight="1">
      <c r="A274" s="20"/>
      <c r="B274" s="20"/>
      <c r="C274" s="20"/>
      <c r="D274" s="22"/>
      <c r="E274" s="20"/>
      <c r="F274" s="20"/>
    </row>
    <row r="275" ht="22.5" customHeight="1">
      <c r="A275" s="20"/>
      <c r="B275" s="20"/>
      <c r="C275" s="20"/>
      <c r="D275" s="22"/>
      <c r="E275" s="20"/>
      <c r="F275" s="20"/>
    </row>
    <row r="276" ht="22.5" customHeight="1">
      <c r="A276" s="20"/>
      <c r="B276" s="20"/>
      <c r="C276" s="20"/>
      <c r="D276" s="22"/>
      <c r="E276" s="20"/>
      <c r="F276" s="20"/>
    </row>
    <row r="277" ht="22.5" customHeight="1">
      <c r="A277" s="20"/>
      <c r="B277" s="20"/>
      <c r="C277" s="20"/>
      <c r="D277" s="22"/>
      <c r="E277" s="20"/>
      <c r="F277" s="20"/>
    </row>
    <row r="278" ht="22.5" customHeight="1">
      <c r="A278" s="20"/>
      <c r="B278" s="20"/>
      <c r="C278" s="20"/>
      <c r="D278" s="22"/>
      <c r="E278" s="20"/>
      <c r="F278" s="20"/>
    </row>
    <row r="279" ht="22.5" customHeight="1">
      <c r="A279" s="20"/>
      <c r="B279" s="20"/>
      <c r="C279" s="20"/>
      <c r="D279" s="22"/>
      <c r="E279" s="20"/>
      <c r="F279" s="20"/>
    </row>
    <row r="280" ht="22.5" customHeight="1">
      <c r="A280" s="20"/>
      <c r="B280" s="20"/>
      <c r="C280" s="20"/>
      <c r="D280" s="22"/>
      <c r="E280" s="20"/>
      <c r="F280" s="20"/>
    </row>
    <row r="281" ht="22.5" customHeight="1">
      <c r="A281" s="20"/>
      <c r="B281" s="20"/>
      <c r="C281" s="20"/>
      <c r="D281" s="22"/>
      <c r="E281" s="20"/>
      <c r="F281" s="20"/>
    </row>
    <row r="282" ht="22.5" customHeight="1">
      <c r="A282" s="20"/>
      <c r="B282" s="20"/>
      <c r="C282" s="20"/>
      <c r="D282" s="22"/>
      <c r="E282" s="20"/>
      <c r="F282" s="20"/>
    </row>
    <row r="283" ht="22.5" customHeight="1">
      <c r="A283" s="20"/>
      <c r="B283" s="20"/>
      <c r="C283" s="20"/>
      <c r="D283" s="22"/>
      <c r="E283" s="20"/>
      <c r="F283" s="20"/>
    </row>
    <row r="284" ht="22.5" customHeight="1">
      <c r="A284" s="20"/>
      <c r="B284" s="20"/>
      <c r="C284" s="20"/>
      <c r="D284" s="22"/>
      <c r="E284" s="20"/>
      <c r="F284" s="20"/>
    </row>
    <row r="285" ht="22.5" customHeight="1">
      <c r="A285" s="20"/>
      <c r="B285" s="20"/>
      <c r="C285" s="20"/>
      <c r="D285" s="22"/>
      <c r="E285" s="20"/>
      <c r="F285" s="20"/>
    </row>
    <row r="286" ht="22.5" customHeight="1">
      <c r="A286" s="20"/>
      <c r="B286" s="20"/>
      <c r="C286" s="20"/>
      <c r="D286" s="22"/>
      <c r="E286" s="20"/>
      <c r="F286" s="20"/>
    </row>
    <row r="287" ht="22.5" customHeight="1">
      <c r="A287" s="20"/>
      <c r="B287" s="20"/>
      <c r="C287" s="20"/>
      <c r="D287" s="22"/>
      <c r="E287" s="20"/>
      <c r="F287" s="20"/>
    </row>
    <row r="288" ht="22.5" customHeight="1">
      <c r="A288" s="20"/>
      <c r="B288" s="20"/>
      <c r="C288" s="20"/>
      <c r="D288" s="22"/>
      <c r="E288" s="20"/>
      <c r="F288" s="20"/>
    </row>
    <row r="289" ht="22.5" customHeight="1">
      <c r="A289" s="20"/>
      <c r="B289" s="20"/>
      <c r="C289" s="20"/>
      <c r="D289" s="22"/>
      <c r="E289" s="20"/>
      <c r="F289" s="20"/>
    </row>
    <row r="290" ht="22.5" customHeight="1">
      <c r="A290" s="20"/>
      <c r="B290" s="20"/>
      <c r="C290" s="20"/>
      <c r="D290" s="22"/>
      <c r="E290" s="20"/>
      <c r="F290" s="20"/>
    </row>
    <row r="291" ht="22.5" customHeight="1">
      <c r="A291" s="20"/>
      <c r="B291" s="20"/>
      <c r="C291" s="20"/>
      <c r="D291" s="22"/>
      <c r="E291" s="20"/>
      <c r="F291" s="20"/>
    </row>
    <row r="292" ht="22.5" customHeight="1">
      <c r="A292" s="20"/>
      <c r="B292" s="20"/>
      <c r="C292" s="20"/>
      <c r="D292" s="22"/>
      <c r="E292" s="20"/>
      <c r="F292" s="20"/>
    </row>
    <row r="293" ht="22.5" customHeight="1">
      <c r="A293" s="20"/>
      <c r="B293" s="20"/>
      <c r="C293" s="20"/>
      <c r="D293" s="22"/>
      <c r="E293" s="20"/>
      <c r="F293" s="20"/>
    </row>
    <row r="294" ht="22.5" customHeight="1">
      <c r="A294" s="20"/>
      <c r="B294" s="20"/>
      <c r="C294" s="20"/>
      <c r="D294" s="22"/>
      <c r="E294" s="20"/>
      <c r="F294" s="20"/>
    </row>
    <row r="295" ht="22.5" customHeight="1">
      <c r="A295" s="20"/>
      <c r="B295" s="20"/>
      <c r="C295" s="20"/>
      <c r="D295" s="22"/>
      <c r="E295" s="20"/>
      <c r="F295" s="20"/>
    </row>
    <row r="296" ht="22.5" customHeight="1">
      <c r="A296" s="20"/>
      <c r="B296" s="20"/>
      <c r="C296" s="20"/>
      <c r="D296" s="22"/>
      <c r="E296" s="20"/>
      <c r="F296" s="20"/>
    </row>
    <row r="297" ht="22.5" customHeight="1">
      <c r="A297" s="20"/>
      <c r="B297" s="20"/>
      <c r="C297" s="20"/>
      <c r="D297" s="22"/>
      <c r="E297" s="20"/>
      <c r="F297" s="20"/>
    </row>
    <row r="298" ht="22.5" customHeight="1">
      <c r="A298" s="20"/>
      <c r="B298" s="20"/>
      <c r="C298" s="20"/>
      <c r="D298" s="22"/>
      <c r="E298" s="20"/>
      <c r="F298" s="20"/>
    </row>
    <row r="299" ht="22.5" customHeight="1">
      <c r="A299" s="20"/>
      <c r="B299" s="20"/>
      <c r="C299" s="20"/>
      <c r="D299" s="22"/>
      <c r="E299" s="20"/>
      <c r="F299" s="20"/>
    </row>
    <row r="300" ht="22.5" customHeight="1">
      <c r="A300" s="20"/>
      <c r="B300" s="20"/>
      <c r="C300" s="20"/>
      <c r="D300" s="22"/>
      <c r="E300" s="20"/>
      <c r="F300" s="20"/>
    </row>
    <row r="301" ht="22.5" customHeight="1">
      <c r="A301" s="20"/>
      <c r="B301" s="20"/>
      <c r="C301" s="20"/>
      <c r="D301" s="22"/>
      <c r="E301" s="20"/>
      <c r="F301" s="20"/>
    </row>
    <row r="302" ht="22.5" customHeight="1">
      <c r="A302" s="20"/>
      <c r="B302" s="20"/>
      <c r="C302" s="20"/>
      <c r="D302" s="22"/>
      <c r="E302" s="20"/>
      <c r="F302" s="20"/>
    </row>
    <row r="303" ht="22.5" customHeight="1">
      <c r="A303" s="20"/>
      <c r="B303" s="20"/>
      <c r="C303" s="20"/>
      <c r="D303" s="22"/>
      <c r="E303" s="20"/>
      <c r="F303" s="20"/>
    </row>
    <row r="304" ht="22.5" customHeight="1">
      <c r="A304" s="20"/>
      <c r="B304" s="20"/>
      <c r="C304" s="20"/>
      <c r="D304" s="22"/>
      <c r="E304" s="20"/>
      <c r="F304" s="20"/>
    </row>
    <row r="305" ht="22.5" customHeight="1">
      <c r="A305" s="20"/>
      <c r="B305" s="20"/>
      <c r="C305" s="20"/>
      <c r="D305" s="22"/>
      <c r="E305" s="20"/>
      <c r="F305" s="20"/>
    </row>
    <row r="306" ht="22.5" customHeight="1">
      <c r="A306" s="20"/>
      <c r="B306" s="20"/>
      <c r="C306" s="20"/>
      <c r="D306" s="22"/>
      <c r="E306" s="20"/>
      <c r="F306" s="20"/>
    </row>
    <row r="307" ht="22.5" customHeight="1">
      <c r="A307" s="20"/>
      <c r="B307" s="20"/>
      <c r="C307" s="20"/>
      <c r="D307" s="22"/>
      <c r="E307" s="20"/>
      <c r="F307" s="20"/>
    </row>
    <row r="308" ht="22.5" customHeight="1">
      <c r="A308" s="20"/>
      <c r="B308" s="20"/>
      <c r="C308" s="20"/>
      <c r="D308" s="22"/>
      <c r="E308" s="20"/>
      <c r="F308" s="20"/>
    </row>
    <row r="309" ht="22.5" customHeight="1">
      <c r="A309" s="20"/>
      <c r="B309" s="20"/>
      <c r="C309" s="20"/>
      <c r="D309" s="22"/>
      <c r="E309" s="20"/>
      <c r="F309" s="20"/>
    </row>
    <row r="310" ht="22.5" customHeight="1">
      <c r="A310" s="20"/>
      <c r="B310" s="20"/>
      <c r="C310" s="20"/>
      <c r="D310" s="22"/>
      <c r="E310" s="20"/>
      <c r="F310" s="20"/>
    </row>
    <row r="311" ht="22.5" customHeight="1">
      <c r="A311" s="20"/>
      <c r="B311" s="20"/>
      <c r="C311" s="20"/>
      <c r="D311" s="22"/>
      <c r="E311" s="20"/>
      <c r="F311" s="20"/>
    </row>
    <row r="312" ht="22.5" customHeight="1">
      <c r="A312" s="20"/>
      <c r="B312" s="20"/>
      <c r="C312" s="20"/>
      <c r="D312" s="22"/>
      <c r="E312" s="20"/>
      <c r="F312" s="20"/>
    </row>
    <row r="313" ht="22.5" customHeight="1">
      <c r="A313" s="20"/>
      <c r="B313" s="20"/>
      <c r="C313" s="20"/>
      <c r="D313" s="22"/>
      <c r="E313" s="20"/>
      <c r="F313" s="20"/>
    </row>
    <row r="314" ht="22.5" customHeight="1">
      <c r="A314" s="20"/>
      <c r="B314" s="20"/>
      <c r="C314" s="20"/>
      <c r="D314" s="22"/>
      <c r="E314" s="20"/>
      <c r="F314" s="20"/>
    </row>
    <row r="315" ht="22.5" customHeight="1">
      <c r="A315" s="20"/>
      <c r="B315" s="20"/>
      <c r="C315" s="20"/>
      <c r="D315" s="22"/>
      <c r="E315" s="20"/>
      <c r="F315" s="20"/>
    </row>
    <row r="316" ht="22.5" customHeight="1">
      <c r="A316" s="20"/>
      <c r="B316" s="20"/>
      <c r="C316" s="20"/>
      <c r="D316" s="22"/>
      <c r="E316" s="20"/>
      <c r="F316" s="20"/>
    </row>
    <row r="317" ht="22.5" customHeight="1">
      <c r="A317" s="20"/>
      <c r="B317" s="20"/>
      <c r="C317" s="20"/>
      <c r="D317" s="22"/>
      <c r="E317" s="20"/>
      <c r="F317" s="20"/>
    </row>
    <row r="318" ht="22.5" customHeight="1">
      <c r="A318" s="20"/>
      <c r="B318" s="20"/>
      <c r="C318" s="20"/>
      <c r="D318" s="22"/>
      <c r="E318" s="20"/>
      <c r="F318" s="20"/>
    </row>
    <row r="319" ht="22.5" customHeight="1">
      <c r="A319" s="20"/>
      <c r="B319" s="20"/>
      <c r="C319" s="20"/>
      <c r="D319" s="22"/>
      <c r="E319" s="20"/>
      <c r="F319" s="20"/>
    </row>
    <row r="320" ht="22.5" customHeight="1">
      <c r="A320" s="20"/>
      <c r="B320" s="20"/>
      <c r="C320" s="20"/>
      <c r="D320" s="22"/>
      <c r="E320" s="20"/>
      <c r="F320" s="20"/>
    </row>
    <row r="321" ht="22.5" customHeight="1">
      <c r="A321" s="20"/>
      <c r="B321" s="20"/>
      <c r="C321" s="20"/>
      <c r="D321" s="22"/>
      <c r="E321" s="20"/>
      <c r="F321" s="20"/>
    </row>
    <row r="322" ht="22.5" customHeight="1">
      <c r="A322" s="20"/>
      <c r="B322" s="20"/>
      <c r="C322" s="20"/>
      <c r="D322" s="22"/>
      <c r="E322" s="20"/>
      <c r="F322" s="20"/>
    </row>
    <row r="323" ht="22.5" customHeight="1">
      <c r="A323" s="20"/>
      <c r="B323" s="20"/>
      <c r="C323" s="20"/>
      <c r="D323" s="22"/>
      <c r="E323" s="20"/>
      <c r="F323" s="20"/>
    </row>
    <row r="324" ht="22.5" customHeight="1">
      <c r="A324" s="20"/>
      <c r="B324" s="20"/>
      <c r="C324" s="20"/>
      <c r="D324" s="22"/>
      <c r="E324" s="20"/>
      <c r="F324" s="20"/>
    </row>
    <row r="325" ht="22.5" customHeight="1">
      <c r="A325" s="20"/>
      <c r="B325" s="20"/>
      <c r="C325" s="20"/>
      <c r="D325" s="22"/>
      <c r="E325" s="20"/>
      <c r="F325" s="20"/>
    </row>
    <row r="326" ht="22.5" customHeight="1">
      <c r="A326" s="20"/>
      <c r="B326" s="20"/>
      <c r="C326" s="20"/>
      <c r="D326" s="22"/>
      <c r="E326" s="20"/>
      <c r="F326" s="20"/>
    </row>
    <row r="327" ht="22.5" customHeight="1">
      <c r="A327" s="20"/>
      <c r="B327" s="20"/>
      <c r="C327" s="20"/>
      <c r="D327" s="22"/>
      <c r="E327" s="20"/>
      <c r="F327" s="20"/>
    </row>
    <row r="328" ht="22.5" customHeight="1">
      <c r="A328" s="20"/>
      <c r="B328" s="20"/>
      <c r="C328" s="20"/>
      <c r="D328" s="22"/>
      <c r="E328" s="20"/>
      <c r="F328" s="20"/>
    </row>
    <row r="329" ht="22.5" customHeight="1">
      <c r="A329" s="20"/>
      <c r="B329" s="20"/>
      <c r="C329" s="20"/>
      <c r="D329" s="22"/>
      <c r="E329" s="20"/>
      <c r="F329" s="20"/>
    </row>
    <row r="330" ht="22.5" customHeight="1">
      <c r="A330" s="20"/>
      <c r="B330" s="20"/>
      <c r="C330" s="20"/>
      <c r="D330" s="22"/>
      <c r="E330" s="20"/>
      <c r="F330" s="20"/>
    </row>
    <row r="331" ht="22.5" customHeight="1">
      <c r="A331" s="20"/>
      <c r="B331" s="20"/>
      <c r="C331" s="20"/>
      <c r="D331" s="22"/>
      <c r="E331" s="20"/>
      <c r="F331" s="20"/>
    </row>
    <row r="332" ht="22.5" customHeight="1">
      <c r="A332" s="20"/>
      <c r="B332" s="20"/>
      <c r="C332" s="20"/>
      <c r="D332" s="22"/>
      <c r="E332" s="20"/>
      <c r="F332" s="20"/>
    </row>
    <row r="333" ht="22.5" customHeight="1">
      <c r="A333" s="20"/>
      <c r="B333" s="20"/>
      <c r="C333" s="20"/>
      <c r="D333" s="22"/>
      <c r="E333" s="20"/>
      <c r="F333" s="20"/>
    </row>
    <row r="334" ht="22.5" customHeight="1">
      <c r="A334" s="20"/>
      <c r="B334" s="20"/>
      <c r="C334" s="20"/>
      <c r="D334" s="22"/>
      <c r="E334" s="20"/>
      <c r="F334" s="20"/>
    </row>
    <row r="335" ht="22.5" customHeight="1">
      <c r="A335" s="20"/>
      <c r="B335" s="20"/>
      <c r="C335" s="20"/>
      <c r="D335" s="22"/>
      <c r="E335" s="20"/>
      <c r="F335" s="20"/>
    </row>
    <row r="336" ht="22.5" customHeight="1">
      <c r="A336" s="20"/>
      <c r="B336" s="20"/>
      <c r="C336" s="20"/>
      <c r="D336" s="22"/>
      <c r="E336" s="20"/>
      <c r="F336" s="20"/>
    </row>
    <row r="337" ht="22.5" customHeight="1">
      <c r="A337" s="20"/>
      <c r="B337" s="20"/>
      <c r="C337" s="20"/>
      <c r="D337" s="22"/>
      <c r="E337" s="20"/>
      <c r="F337" s="20"/>
    </row>
    <row r="338" ht="22.5" customHeight="1">
      <c r="A338" s="20"/>
      <c r="B338" s="20"/>
      <c r="C338" s="20"/>
      <c r="D338" s="22"/>
      <c r="E338" s="20"/>
      <c r="F338" s="20"/>
    </row>
    <row r="339" ht="22.5" customHeight="1">
      <c r="A339" s="20"/>
      <c r="B339" s="20"/>
      <c r="C339" s="20"/>
      <c r="D339" s="22"/>
      <c r="E339" s="20"/>
      <c r="F339" s="20"/>
    </row>
    <row r="340" ht="22.5" customHeight="1">
      <c r="A340" s="20"/>
      <c r="B340" s="20"/>
      <c r="C340" s="20"/>
      <c r="D340" s="22"/>
      <c r="E340" s="20"/>
      <c r="F340" s="20"/>
    </row>
    <row r="341" ht="22.5" customHeight="1">
      <c r="A341" s="20"/>
      <c r="B341" s="20"/>
      <c r="C341" s="20"/>
      <c r="D341" s="22"/>
      <c r="E341" s="20"/>
      <c r="F341" s="20"/>
    </row>
    <row r="342" ht="22.5" customHeight="1">
      <c r="A342" s="20"/>
      <c r="B342" s="20"/>
      <c r="C342" s="20"/>
      <c r="D342" s="22"/>
      <c r="E342" s="20"/>
      <c r="F342" s="20"/>
    </row>
    <row r="343" ht="22.5" customHeight="1">
      <c r="A343" s="20"/>
      <c r="B343" s="20"/>
      <c r="C343" s="20"/>
      <c r="D343" s="22"/>
      <c r="E343" s="20"/>
      <c r="F343" s="20"/>
    </row>
    <row r="344" ht="22.5" customHeight="1">
      <c r="A344" s="20"/>
      <c r="B344" s="20"/>
      <c r="C344" s="20"/>
      <c r="D344" s="22"/>
      <c r="E344" s="20"/>
      <c r="F344" s="20"/>
    </row>
    <row r="345" ht="22.5" customHeight="1">
      <c r="A345" s="20"/>
      <c r="B345" s="20"/>
      <c r="C345" s="20"/>
      <c r="D345" s="22"/>
      <c r="E345" s="20"/>
      <c r="F345" s="20"/>
    </row>
    <row r="346" ht="22.5" customHeight="1">
      <c r="A346" s="20"/>
      <c r="B346" s="20"/>
      <c r="C346" s="20"/>
      <c r="D346" s="22"/>
      <c r="E346" s="20"/>
      <c r="F346" s="20"/>
    </row>
    <row r="347" ht="22.5" customHeight="1">
      <c r="A347" s="20"/>
      <c r="B347" s="20"/>
      <c r="C347" s="20"/>
      <c r="D347" s="22"/>
      <c r="E347" s="20"/>
      <c r="F347" s="20"/>
    </row>
    <row r="348" ht="22.5" customHeight="1">
      <c r="A348" s="20"/>
      <c r="B348" s="20"/>
      <c r="C348" s="20"/>
      <c r="D348" s="22"/>
      <c r="E348" s="20"/>
      <c r="F348" s="20"/>
    </row>
    <row r="349" ht="22.5" customHeight="1">
      <c r="A349" s="20"/>
      <c r="B349" s="20"/>
      <c r="C349" s="20"/>
      <c r="D349" s="22"/>
      <c r="E349" s="20"/>
      <c r="F349" s="20"/>
    </row>
    <row r="350" ht="22.5" customHeight="1">
      <c r="A350" s="20"/>
      <c r="B350" s="20"/>
      <c r="C350" s="20"/>
      <c r="D350" s="22"/>
      <c r="E350" s="20"/>
      <c r="F350" s="20"/>
    </row>
    <row r="351" ht="22.5" customHeight="1">
      <c r="A351" s="20"/>
      <c r="B351" s="20"/>
      <c r="C351" s="20"/>
      <c r="D351" s="22"/>
      <c r="E351" s="20"/>
      <c r="F351" s="20"/>
    </row>
    <row r="352" ht="22.5" customHeight="1">
      <c r="A352" s="20"/>
      <c r="B352" s="20"/>
      <c r="C352" s="20"/>
      <c r="D352" s="22"/>
      <c r="E352" s="20"/>
      <c r="F352" s="20"/>
    </row>
    <row r="353" ht="22.5" customHeight="1">
      <c r="A353" s="20"/>
      <c r="B353" s="20"/>
      <c r="C353" s="20"/>
      <c r="D353" s="22"/>
      <c r="E353" s="20"/>
      <c r="F353" s="20"/>
    </row>
    <row r="354" ht="22.5" customHeight="1">
      <c r="A354" s="20"/>
      <c r="B354" s="20"/>
      <c r="C354" s="20"/>
      <c r="D354" s="22"/>
      <c r="E354" s="20"/>
      <c r="F354" s="20"/>
    </row>
    <row r="355" ht="22.5" customHeight="1">
      <c r="A355" s="20"/>
      <c r="B355" s="20"/>
      <c r="C355" s="20"/>
      <c r="D355" s="22"/>
      <c r="E355" s="20"/>
      <c r="F355" s="20"/>
    </row>
    <row r="356" ht="22.5" customHeight="1">
      <c r="A356" s="20"/>
      <c r="B356" s="20"/>
      <c r="C356" s="20"/>
      <c r="D356" s="22"/>
      <c r="E356" s="20"/>
      <c r="F356" s="20"/>
    </row>
    <row r="357" ht="22.5" customHeight="1">
      <c r="A357" s="20"/>
      <c r="B357" s="20"/>
      <c r="C357" s="20"/>
      <c r="D357" s="22"/>
      <c r="E357" s="20"/>
      <c r="F357" s="20"/>
    </row>
    <row r="358" ht="22.5" customHeight="1">
      <c r="A358" s="20"/>
      <c r="B358" s="20"/>
      <c r="C358" s="20"/>
      <c r="D358" s="22"/>
      <c r="E358" s="20"/>
      <c r="F358" s="20"/>
    </row>
    <row r="359" ht="22.5" customHeight="1">
      <c r="A359" s="20"/>
      <c r="B359" s="20"/>
      <c r="C359" s="20"/>
      <c r="D359" s="22"/>
      <c r="E359" s="20"/>
      <c r="F359" s="20"/>
    </row>
    <row r="360" ht="22.5" customHeight="1">
      <c r="A360" s="20"/>
      <c r="B360" s="20"/>
      <c r="C360" s="20"/>
      <c r="D360" s="22"/>
      <c r="E360" s="20"/>
      <c r="F360" s="20"/>
    </row>
    <row r="361" ht="22.5" customHeight="1">
      <c r="A361" s="20"/>
      <c r="B361" s="20"/>
      <c r="C361" s="20"/>
      <c r="D361" s="22"/>
      <c r="E361" s="20"/>
      <c r="F361" s="20"/>
    </row>
    <row r="362" ht="22.5" customHeight="1">
      <c r="A362" s="20"/>
      <c r="B362" s="20"/>
      <c r="C362" s="20"/>
      <c r="D362" s="22"/>
      <c r="E362" s="20"/>
      <c r="F362" s="20"/>
    </row>
    <row r="363" ht="22.5" customHeight="1">
      <c r="A363" s="20"/>
      <c r="B363" s="20"/>
      <c r="C363" s="20"/>
      <c r="D363" s="22"/>
      <c r="E363" s="20"/>
      <c r="F363" s="20"/>
    </row>
    <row r="364" ht="22.5" customHeight="1">
      <c r="A364" s="20"/>
      <c r="B364" s="20"/>
      <c r="C364" s="20"/>
      <c r="D364" s="22"/>
      <c r="E364" s="20"/>
      <c r="F364" s="20"/>
    </row>
    <row r="365" ht="22.5" customHeight="1">
      <c r="A365" s="20"/>
      <c r="B365" s="20"/>
      <c r="C365" s="20"/>
      <c r="D365" s="22"/>
      <c r="E365" s="20"/>
      <c r="F365" s="20"/>
    </row>
    <row r="366" ht="22.5" customHeight="1">
      <c r="A366" s="20"/>
      <c r="B366" s="20"/>
      <c r="C366" s="20"/>
      <c r="D366" s="22"/>
      <c r="E366" s="20"/>
      <c r="F366" s="20"/>
    </row>
    <row r="367" ht="22.5" customHeight="1">
      <c r="A367" s="20"/>
      <c r="B367" s="20"/>
      <c r="C367" s="20"/>
      <c r="D367" s="22"/>
      <c r="E367" s="20"/>
      <c r="F367" s="20"/>
    </row>
    <row r="368" ht="22.5" customHeight="1">
      <c r="A368" s="20"/>
      <c r="B368" s="20"/>
      <c r="C368" s="20"/>
      <c r="D368" s="22"/>
      <c r="E368" s="20"/>
      <c r="F368" s="20"/>
    </row>
    <row r="369" ht="22.5" customHeight="1">
      <c r="A369" s="20"/>
      <c r="B369" s="20"/>
      <c r="C369" s="20"/>
      <c r="D369" s="22"/>
      <c r="E369" s="20"/>
      <c r="F369" s="20"/>
    </row>
    <row r="370" ht="22.5" customHeight="1">
      <c r="A370" s="20"/>
      <c r="B370" s="20"/>
      <c r="C370" s="20"/>
      <c r="D370" s="22"/>
      <c r="E370" s="20"/>
      <c r="F370" s="20"/>
    </row>
    <row r="371" ht="22.5" customHeight="1">
      <c r="A371" s="20"/>
      <c r="B371" s="20"/>
      <c r="C371" s="20"/>
      <c r="D371" s="22"/>
      <c r="E371" s="20"/>
      <c r="F371" s="20"/>
    </row>
    <row r="372" ht="22.5" customHeight="1">
      <c r="A372" s="20"/>
      <c r="B372" s="20"/>
      <c r="C372" s="20"/>
      <c r="D372" s="22"/>
      <c r="E372" s="20"/>
      <c r="F372" s="20"/>
    </row>
    <row r="373" ht="22.5" customHeight="1">
      <c r="A373" s="20"/>
      <c r="B373" s="20"/>
      <c r="C373" s="20"/>
      <c r="D373" s="22"/>
      <c r="E373" s="20"/>
      <c r="F373" s="20"/>
    </row>
    <row r="374" ht="22.5" customHeight="1">
      <c r="A374" s="20"/>
      <c r="B374" s="20"/>
      <c r="C374" s="20"/>
      <c r="D374" s="22"/>
      <c r="E374" s="20"/>
      <c r="F374" s="20"/>
    </row>
    <row r="375" ht="22.5" customHeight="1">
      <c r="A375" s="20"/>
      <c r="B375" s="20"/>
      <c r="C375" s="20"/>
      <c r="D375" s="22"/>
      <c r="E375" s="20"/>
      <c r="F375" s="20"/>
    </row>
    <row r="376" ht="22.5" customHeight="1">
      <c r="A376" s="20"/>
      <c r="B376" s="20"/>
      <c r="C376" s="20"/>
      <c r="D376" s="22"/>
      <c r="E376" s="20"/>
      <c r="F376" s="20"/>
    </row>
    <row r="377" ht="22.5" customHeight="1">
      <c r="A377" s="20"/>
      <c r="B377" s="20"/>
      <c r="C377" s="20"/>
      <c r="D377" s="22"/>
      <c r="E377" s="20"/>
      <c r="F377" s="20"/>
    </row>
    <row r="378" ht="22.5" customHeight="1">
      <c r="A378" s="20"/>
      <c r="B378" s="20"/>
      <c r="C378" s="20"/>
      <c r="D378" s="22"/>
      <c r="E378" s="20"/>
      <c r="F378" s="20"/>
    </row>
    <row r="379" ht="22.5" customHeight="1">
      <c r="A379" s="20"/>
      <c r="B379" s="20"/>
      <c r="C379" s="20"/>
      <c r="D379" s="22"/>
      <c r="E379" s="20"/>
      <c r="F379" s="20"/>
    </row>
    <row r="380" ht="22.5" customHeight="1">
      <c r="A380" s="20"/>
      <c r="B380" s="20"/>
      <c r="C380" s="20"/>
      <c r="D380" s="22"/>
      <c r="E380" s="20"/>
      <c r="F380" s="20"/>
    </row>
    <row r="381" ht="22.5" customHeight="1">
      <c r="A381" s="20"/>
      <c r="B381" s="20"/>
      <c r="C381" s="20"/>
      <c r="D381" s="22"/>
      <c r="E381" s="20"/>
      <c r="F381" s="20"/>
    </row>
    <row r="382" ht="22.5" customHeight="1">
      <c r="A382" s="20"/>
      <c r="B382" s="20"/>
      <c r="C382" s="20"/>
      <c r="D382" s="22"/>
      <c r="E382" s="20"/>
      <c r="F382" s="20"/>
    </row>
    <row r="383" ht="22.5" customHeight="1">
      <c r="A383" s="20"/>
      <c r="B383" s="20"/>
      <c r="C383" s="20"/>
      <c r="D383" s="22"/>
      <c r="E383" s="20"/>
      <c r="F383" s="20"/>
    </row>
    <row r="384" ht="22.5" customHeight="1">
      <c r="A384" s="20"/>
      <c r="B384" s="20"/>
      <c r="C384" s="20"/>
      <c r="D384" s="22"/>
      <c r="E384" s="20"/>
      <c r="F384" s="20"/>
    </row>
    <row r="385" ht="22.5" customHeight="1">
      <c r="A385" s="20"/>
      <c r="B385" s="20"/>
      <c r="C385" s="20"/>
      <c r="D385" s="22"/>
      <c r="E385" s="20"/>
      <c r="F385" s="20"/>
    </row>
    <row r="386" ht="22.5" customHeight="1">
      <c r="A386" s="20"/>
      <c r="B386" s="20"/>
      <c r="C386" s="20"/>
      <c r="D386" s="22"/>
      <c r="E386" s="20"/>
      <c r="F386" s="20"/>
    </row>
    <row r="387" ht="22.5" customHeight="1">
      <c r="A387" s="20"/>
      <c r="B387" s="20"/>
      <c r="C387" s="20"/>
      <c r="D387" s="22"/>
      <c r="E387" s="20"/>
      <c r="F387" s="20"/>
    </row>
    <row r="388" ht="22.5" customHeight="1">
      <c r="A388" s="20"/>
      <c r="B388" s="20"/>
      <c r="C388" s="20"/>
      <c r="D388" s="22"/>
      <c r="E388" s="20"/>
      <c r="F388" s="20"/>
    </row>
    <row r="389" ht="22.5" customHeight="1">
      <c r="A389" s="20"/>
      <c r="B389" s="20"/>
      <c r="C389" s="20"/>
      <c r="D389" s="22"/>
      <c r="E389" s="20"/>
      <c r="F389" s="20"/>
    </row>
    <row r="390" ht="22.5" customHeight="1">
      <c r="A390" s="20"/>
      <c r="B390" s="20"/>
      <c r="C390" s="20"/>
      <c r="D390" s="22"/>
      <c r="E390" s="20"/>
      <c r="F390" s="20"/>
    </row>
    <row r="391" ht="22.5" customHeight="1">
      <c r="A391" s="20"/>
      <c r="B391" s="20"/>
      <c r="C391" s="20"/>
      <c r="D391" s="22"/>
      <c r="E391" s="20"/>
      <c r="F391" s="20"/>
    </row>
    <row r="392" ht="22.5" customHeight="1">
      <c r="A392" s="20"/>
      <c r="B392" s="20"/>
      <c r="C392" s="20"/>
      <c r="D392" s="22"/>
      <c r="E392" s="20"/>
      <c r="F392" s="20"/>
    </row>
    <row r="393" ht="22.5" customHeight="1">
      <c r="A393" s="20"/>
      <c r="B393" s="20"/>
      <c r="C393" s="20"/>
      <c r="D393" s="22"/>
      <c r="E393" s="20"/>
      <c r="F393" s="20"/>
    </row>
    <row r="394" ht="22.5" customHeight="1">
      <c r="A394" s="20"/>
      <c r="B394" s="20"/>
      <c r="C394" s="20"/>
      <c r="D394" s="22"/>
      <c r="E394" s="20"/>
      <c r="F394" s="20"/>
    </row>
    <row r="395" ht="22.5" customHeight="1">
      <c r="A395" s="20"/>
      <c r="B395" s="20"/>
      <c r="C395" s="20"/>
      <c r="D395" s="22"/>
      <c r="E395" s="20"/>
      <c r="F395" s="20"/>
    </row>
    <row r="396" ht="22.5" customHeight="1">
      <c r="A396" s="20"/>
      <c r="B396" s="20"/>
      <c r="C396" s="20"/>
      <c r="D396" s="22"/>
      <c r="E396" s="20"/>
      <c r="F396" s="20"/>
    </row>
    <row r="397" ht="22.5" customHeight="1">
      <c r="A397" s="20"/>
      <c r="B397" s="20"/>
      <c r="C397" s="20"/>
      <c r="D397" s="22"/>
      <c r="E397" s="20"/>
      <c r="F397" s="20"/>
    </row>
    <row r="398" ht="22.5" customHeight="1">
      <c r="A398" s="20"/>
      <c r="B398" s="20"/>
      <c r="C398" s="20"/>
      <c r="D398" s="22"/>
      <c r="E398" s="20"/>
      <c r="F398" s="20"/>
    </row>
    <row r="399" ht="22.5" customHeight="1">
      <c r="A399" s="20"/>
      <c r="B399" s="20"/>
      <c r="C399" s="20"/>
      <c r="D399" s="22"/>
      <c r="E399" s="20"/>
      <c r="F399" s="20"/>
    </row>
    <row r="400" ht="22.5" customHeight="1">
      <c r="A400" s="20"/>
      <c r="B400" s="20"/>
      <c r="C400" s="20"/>
      <c r="D400" s="22"/>
      <c r="E400" s="20"/>
      <c r="F400" s="20"/>
    </row>
    <row r="401" ht="22.5" customHeight="1">
      <c r="A401" s="20"/>
      <c r="B401" s="20"/>
      <c r="C401" s="20"/>
      <c r="D401" s="22"/>
      <c r="E401" s="20"/>
      <c r="F401" s="20"/>
    </row>
    <row r="402" ht="22.5" customHeight="1">
      <c r="A402" s="20"/>
      <c r="B402" s="20"/>
      <c r="C402" s="20"/>
      <c r="D402" s="22"/>
      <c r="E402" s="20"/>
      <c r="F402" s="20"/>
    </row>
    <row r="403" ht="22.5" customHeight="1">
      <c r="A403" s="20"/>
      <c r="B403" s="20"/>
      <c r="C403" s="20"/>
      <c r="D403" s="22"/>
      <c r="E403" s="20"/>
      <c r="F403" s="20"/>
    </row>
    <row r="404" ht="22.5" customHeight="1">
      <c r="A404" s="20"/>
      <c r="B404" s="20"/>
      <c r="C404" s="20"/>
      <c r="D404" s="22"/>
      <c r="E404" s="20"/>
      <c r="F404" s="20"/>
    </row>
    <row r="405" ht="22.5" customHeight="1">
      <c r="A405" s="20"/>
      <c r="B405" s="20"/>
      <c r="C405" s="20"/>
      <c r="D405" s="22"/>
      <c r="E405" s="20"/>
      <c r="F405" s="20"/>
    </row>
    <row r="406" ht="22.5" customHeight="1">
      <c r="A406" s="20"/>
      <c r="B406" s="20"/>
      <c r="C406" s="20"/>
      <c r="D406" s="22"/>
      <c r="E406" s="20"/>
      <c r="F406" s="20"/>
    </row>
    <row r="407" ht="22.5" customHeight="1">
      <c r="A407" s="20"/>
      <c r="B407" s="20"/>
      <c r="C407" s="20"/>
      <c r="D407" s="22"/>
      <c r="E407" s="20"/>
      <c r="F407" s="20"/>
    </row>
    <row r="408" ht="22.5" customHeight="1">
      <c r="A408" s="20"/>
      <c r="B408" s="20"/>
      <c r="C408" s="20"/>
      <c r="D408" s="22"/>
      <c r="E408" s="20"/>
      <c r="F408" s="20"/>
    </row>
    <row r="409" ht="22.5" customHeight="1">
      <c r="A409" s="20"/>
      <c r="B409" s="20"/>
      <c r="C409" s="20"/>
      <c r="D409" s="22"/>
      <c r="E409" s="20"/>
      <c r="F409" s="20"/>
    </row>
    <row r="410" ht="22.5" customHeight="1">
      <c r="A410" s="20"/>
      <c r="B410" s="20"/>
      <c r="C410" s="20"/>
      <c r="D410" s="22"/>
      <c r="E410" s="20"/>
      <c r="F410" s="20"/>
    </row>
    <row r="411" ht="22.5" customHeight="1">
      <c r="A411" s="20"/>
      <c r="B411" s="20"/>
      <c r="C411" s="20"/>
      <c r="D411" s="22"/>
      <c r="E411" s="20"/>
      <c r="F411" s="20"/>
    </row>
    <row r="412" ht="22.5" customHeight="1">
      <c r="A412" s="20"/>
      <c r="B412" s="20"/>
      <c r="C412" s="20"/>
      <c r="D412" s="22"/>
      <c r="E412" s="20"/>
      <c r="F412" s="20"/>
    </row>
    <row r="413" ht="22.5" customHeight="1">
      <c r="A413" s="20"/>
      <c r="B413" s="20"/>
      <c r="C413" s="20"/>
      <c r="D413" s="22"/>
      <c r="E413" s="20"/>
      <c r="F413" s="20"/>
    </row>
    <row r="414" ht="22.5" customHeight="1">
      <c r="A414" s="20"/>
      <c r="B414" s="20"/>
      <c r="C414" s="20"/>
      <c r="D414" s="22"/>
      <c r="E414" s="20"/>
      <c r="F414" s="20"/>
    </row>
    <row r="415" ht="22.5" customHeight="1">
      <c r="A415" s="20"/>
      <c r="B415" s="20"/>
      <c r="C415" s="20"/>
      <c r="D415" s="22"/>
      <c r="E415" s="20"/>
      <c r="F415" s="20"/>
    </row>
    <row r="416" ht="22.5" customHeight="1">
      <c r="A416" s="20"/>
      <c r="B416" s="20"/>
      <c r="C416" s="20"/>
      <c r="D416" s="22"/>
      <c r="E416" s="20"/>
      <c r="F416" s="20"/>
    </row>
    <row r="417" ht="22.5" customHeight="1">
      <c r="A417" s="20"/>
      <c r="B417" s="20"/>
      <c r="C417" s="20"/>
      <c r="D417" s="22"/>
      <c r="E417" s="20"/>
      <c r="F417" s="20"/>
    </row>
    <row r="418" ht="22.5" customHeight="1">
      <c r="A418" s="20"/>
      <c r="B418" s="20"/>
      <c r="C418" s="20"/>
      <c r="D418" s="22"/>
      <c r="E418" s="20"/>
      <c r="F418" s="20"/>
    </row>
    <row r="419" ht="22.5" customHeight="1">
      <c r="A419" s="20"/>
      <c r="B419" s="20"/>
      <c r="C419" s="20"/>
      <c r="D419" s="22"/>
      <c r="E419" s="20"/>
      <c r="F419" s="20"/>
    </row>
    <row r="420" ht="22.5" customHeight="1">
      <c r="A420" s="20"/>
      <c r="B420" s="20"/>
      <c r="C420" s="20"/>
      <c r="D420" s="22"/>
      <c r="E420" s="20"/>
      <c r="F420" s="20"/>
    </row>
    <row r="421" ht="22.5" customHeight="1">
      <c r="A421" s="20"/>
      <c r="B421" s="20"/>
      <c r="C421" s="20"/>
      <c r="D421" s="22"/>
      <c r="E421" s="20"/>
      <c r="F421" s="20"/>
    </row>
    <row r="422" ht="22.5" customHeight="1">
      <c r="A422" s="20"/>
      <c r="B422" s="20"/>
      <c r="C422" s="20"/>
      <c r="D422" s="22"/>
      <c r="E422" s="20"/>
      <c r="F422" s="20"/>
    </row>
    <row r="423" ht="22.5" customHeight="1">
      <c r="A423" s="20"/>
      <c r="B423" s="20"/>
      <c r="C423" s="20"/>
      <c r="D423" s="22"/>
      <c r="E423" s="20"/>
      <c r="F423" s="20"/>
    </row>
    <row r="424" ht="22.5" customHeight="1">
      <c r="A424" s="20"/>
      <c r="B424" s="20"/>
      <c r="C424" s="20"/>
      <c r="D424" s="22"/>
      <c r="E424" s="20"/>
      <c r="F424" s="20"/>
    </row>
    <row r="425" ht="22.5" customHeight="1">
      <c r="A425" s="20"/>
      <c r="B425" s="20"/>
      <c r="C425" s="20"/>
      <c r="D425" s="22"/>
      <c r="E425" s="20"/>
      <c r="F425" s="20"/>
    </row>
    <row r="426" ht="22.5" customHeight="1">
      <c r="A426" s="20"/>
      <c r="B426" s="20"/>
      <c r="C426" s="20"/>
      <c r="D426" s="22"/>
      <c r="E426" s="20"/>
      <c r="F426" s="20"/>
    </row>
    <row r="427" ht="22.5" customHeight="1">
      <c r="A427" s="20"/>
      <c r="B427" s="20"/>
      <c r="C427" s="20"/>
      <c r="D427" s="22"/>
      <c r="E427" s="20"/>
      <c r="F427" s="20"/>
    </row>
    <row r="428" ht="22.5" customHeight="1">
      <c r="A428" s="20"/>
      <c r="B428" s="20"/>
      <c r="C428" s="20"/>
      <c r="D428" s="22"/>
      <c r="E428" s="20"/>
      <c r="F428" s="20"/>
    </row>
    <row r="429" ht="22.5" customHeight="1">
      <c r="A429" s="20"/>
      <c r="B429" s="20"/>
      <c r="C429" s="20"/>
      <c r="D429" s="22"/>
      <c r="E429" s="20"/>
      <c r="F429" s="20"/>
    </row>
    <row r="430" ht="22.5" customHeight="1">
      <c r="A430" s="20"/>
      <c r="B430" s="20"/>
      <c r="C430" s="20"/>
      <c r="D430" s="22"/>
      <c r="E430" s="20"/>
      <c r="F430" s="20"/>
    </row>
    <row r="431" ht="22.5" customHeight="1">
      <c r="A431" s="20"/>
      <c r="B431" s="20"/>
      <c r="C431" s="20"/>
      <c r="D431" s="22"/>
      <c r="E431" s="20"/>
      <c r="F431" s="20"/>
    </row>
    <row r="432" ht="22.5" customHeight="1">
      <c r="A432" s="20"/>
      <c r="B432" s="20"/>
      <c r="C432" s="20"/>
      <c r="D432" s="22"/>
      <c r="E432" s="20"/>
      <c r="F432" s="20"/>
    </row>
    <row r="433" ht="22.5" customHeight="1">
      <c r="A433" s="20"/>
      <c r="B433" s="20"/>
      <c r="C433" s="20"/>
      <c r="D433" s="22"/>
      <c r="E433" s="20"/>
      <c r="F433" s="20"/>
    </row>
    <row r="434" ht="22.5" customHeight="1">
      <c r="A434" s="20"/>
      <c r="B434" s="20"/>
      <c r="C434" s="20"/>
      <c r="D434" s="22"/>
      <c r="E434" s="20"/>
      <c r="F434" s="20"/>
    </row>
    <row r="435" ht="22.5" customHeight="1">
      <c r="A435" s="20"/>
      <c r="B435" s="20"/>
      <c r="C435" s="20"/>
      <c r="D435" s="22"/>
      <c r="E435" s="20"/>
      <c r="F435" s="20"/>
    </row>
    <row r="436" ht="22.5" customHeight="1">
      <c r="A436" s="20"/>
      <c r="B436" s="20"/>
      <c r="C436" s="20"/>
      <c r="D436" s="22"/>
      <c r="E436" s="20"/>
      <c r="F436" s="20"/>
    </row>
    <row r="437" ht="22.5" customHeight="1">
      <c r="A437" s="20"/>
      <c r="B437" s="20"/>
      <c r="C437" s="20"/>
      <c r="D437" s="22"/>
      <c r="E437" s="20"/>
      <c r="F437" s="20"/>
    </row>
    <row r="438" ht="22.5" customHeight="1">
      <c r="A438" s="20"/>
      <c r="B438" s="20"/>
      <c r="C438" s="20"/>
      <c r="D438" s="22"/>
      <c r="E438" s="20"/>
      <c r="F438" s="20"/>
    </row>
    <row r="439" ht="22.5" customHeight="1">
      <c r="A439" s="20"/>
      <c r="B439" s="20"/>
      <c r="C439" s="20"/>
      <c r="D439" s="22"/>
      <c r="E439" s="20"/>
      <c r="F439" s="20"/>
    </row>
    <row r="440" ht="22.5" customHeight="1">
      <c r="A440" s="20"/>
      <c r="B440" s="20"/>
      <c r="C440" s="20"/>
      <c r="D440" s="22"/>
      <c r="E440" s="20"/>
      <c r="F440" s="20"/>
    </row>
    <row r="441" ht="22.5" customHeight="1">
      <c r="A441" s="20"/>
      <c r="B441" s="20"/>
      <c r="C441" s="20"/>
      <c r="D441" s="22"/>
      <c r="E441" s="20"/>
      <c r="F441" s="20"/>
    </row>
    <row r="442" ht="22.5" customHeight="1">
      <c r="A442" s="20"/>
      <c r="B442" s="20"/>
      <c r="C442" s="20"/>
      <c r="D442" s="22"/>
      <c r="E442" s="20"/>
      <c r="F442" s="20"/>
    </row>
    <row r="443" ht="22.5" customHeight="1">
      <c r="A443" s="20"/>
      <c r="B443" s="20"/>
      <c r="C443" s="20"/>
      <c r="D443" s="22"/>
      <c r="E443" s="20"/>
      <c r="F443" s="20"/>
    </row>
    <row r="444" ht="22.5" customHeight="1">
      <c r="A444" s="20"/>
      <c r="B444" s="20"/>
      <c r="C444" s="20"/>
      <c r="D444" s="22"/>
      <c r="E444" s="20"/>
      <c r="F444" s="20"/>
    </row>
    <row r="445" ht="22.5" customHeight="1">
      <c r="A445" s="20"/>
      <c r="B445" s="20"/>
      <c r="C445" s="20"/>
      <c r="D445" s="22"/>
      <c r="E445" s="20"/>
      <c r="F445" s="20"/>
    </row>
    <row r="446" ht="22.5" customHeight="1">
      <c r="A446" s="20"/>
      <c r="B446" s="20"/>
      <c r="C446" s="20"/>
      <c r="D446" s="22"/>
      <c r="E446" s="20"/>
      <c r="F446" s="20"/>
    </row>
    <row r="447" ht="22.5" customHeight="1">
      <c r="A447" s="20"/>
      <c r="B447" s="20"/>
      <c r="C447" s="20"/>
      <c r="D447" s="22"/>
      <c r="E447" s="20"/>
      <c r="F447" s="20"/>
    </row>
    <row r="448" ht="22.5" customHeight="1">
      <c r="A448" s="20"/>
      <c r="B448" s="20"/>
      <c r="C448" s="20"/>
      <c r="D448" s="22"/>
      <c r="E448" s="20"/>
      <c r="F448" s="20"/>
    </row>
    <row r="449" ht="22.5" customHeight="1">
      <c r="A449" s="20"/>
      <c r="B449" s="20"/>
      <c r="C449" s="20"/>
      <c r="D449" s="22"/>
      <c r="E449" s="20"/>
      <c r="F449" s="20"/>
    </row>
    <row r="450" ht="22.5" customHeight="1">
      <c r="A450" s="20"/>
      <c r="B450" s="20"/>
      <c r="C450" s="20"/>
      <c r="D450" s="22"/>
      <c r="E450" s="20"/>
      <c r="F450" s="20"/>
    </row>
    <row r="451" ht="22.5" customHeight="1">
      <c r="A451" s="20"/>
      <c r="B451" s="20"/>
      <c r="C451" s="20"/>
      <c r="D451" s="22"/>
      <c r="E451" s="20"/>
      <c r="F451" s="20"/>
    </row>
    <row r="452" ht="22.5" customHeight="1">
      <c r="A452" s="20"/>
      <c r="B452" s="20"/>
      <c r="C452" s="20"/>
      <c r="D452" s="22"/>
      <c r="E452" s="20"/>
      <c r="F452" s="20"/>
    </row>
    <row r="453" ht="22.5" customHeight="1">
      <c r="A453" s="20"/>
      <c r="B453" s="20"/>
      <c r="C453" s="20"/>
      <c r="D453" s="22"/>
      <c r="E453" s="20"/>
      <c r="F453" s="20"/>
    </row>
    <row r="454" ht="22.5" customHeight="1">
      <c r="A454" s="20"/>
      <c r="B454" s="20"/>
      <c r="C454" s="20"/>
      <c r="D454" s="22"/>
      <c r="E454" s="20"/>
      <c r="F454" s="20"/>
    </row>
    <row r="455" ht="22.5" customHeight="1">
      <c r="A455" s="20"/>
      <c r="B455" s="20"/>
      <c r="C455" s="20"/>
      <c r="D455" s="22"/>
      <c r="E455" s="20"/>
      <c r="F455" s="20"/>
    </row>
    <row r="456" ht="22.5" customHeight="1">
      <c r="A456" s="20"/>
      <c r="B456" s="20"/>
      <c r="C456" s="20"/>
      <c r="D456" s="22"/>
      <c r="E456" s="20"/>
      <c r="F456" s="20"/>
    </row>
    <row r="457" ht="22.5" customHeight="1">
      <c r="A457" s="20"/>
      <c r="B457" s="20"/>
      <c r="C457" s="20"/>
      <c r="D457" s="22"/>
      <c r="E457" s="20"/>
      <c r="F457" s="20"/>
    </row>
    <row r="458" ht="22.5" customHeight="1">
      <c r="A458" s="20"/>
      <c r="B458" s="20"/>
      <c r="C458" s="20"/>
      <c r="D458" s="22"/>
      <c r="E458" s="20"/>
      <c r="F458" s="20"/>
    </row>
    <row r="459" ht="22.5" customHeight="1">
      <c r="A459" s="20"/>
      <c r="B459" s="20"/>
      <c r="C459" s="20"/>
      <c r="D459" s="22"/>
      <c r="E459" s="20"/>
      <c r="F459" s="20"/>
    </row>
    <row r="460" ht="22.5" customHeight="1">
      <c r="A460" s="20"/>
      <c r="B460" s="20"/>
      <c r="C460" s="20"/>
      <c r="D460" s="22"/>
      <c r="E460" s="20"/>
      <c r="F460" s="20"/>
    </row>
    <row r="461" ht="22.5" customHeight="1">
      <c r="A461" s="20"/>
      <c r="B461" s="20"/>
      <c r="C461" s="20"/>
      <c r="D461" s="22"/>
      <c r="E461" s="20"/>
      <c r="F461" s="20"/>
    </row>
    <row r="462" ht="22.5" customHeight="1">
      <c r="A462" s="20"/>
      <c r="B462" s="20"/>
      <c r="C462" s="20"/>
      <c r="D462" s="22"/>
      <c r="E462" s="20"/>
      <c r="F462" s="20"/>
    </row>
    <row r="463" ht="22.5" customHeight="1">
      <c r="A463" s="20"/>
      <c r="B463" s="20"/>
      <c r="C463" s="20"/>
      <c r="D463" s="22"/>
      <c r="E463" s="20"/>
      <c r="F463" s="20"/>
    </row>
    <row r="464" ht="22.5" customHeight="1">
      <c r="A464" s="20"/>
      <c r="B464" s="20"/>
      <c r="C464" s="20"/>
      <c r="D464" s="22"/>
      <c r="E464" s="20"/>
      <c r="F464" s="20"/>
    </row>
    <row r="465" ht="22.5" customHeight="1">
      <c r="A465" s="20"/>
      <c r="B465" s="20"/>
      <c r="C465" s="20"/>
      <c r="D465" s="22"/>
      <c r="E465" s="20"/>
      <c r="F465" s="20"/>
    </row>
    <row r="466" ht="22.5" customHeight="1">
      <c r="A466" s="20"/>
      <c r="B466" s="20"/>
      <c r="C466" s="20"/>
      <c r="D466" s="22"/>
      <c r="E466" s="20"/>
      <c r="F466" s="20"/>
    </row>
    <row r="467" ht="22.5" customHeight="1">
      <c r="A467" s="20"/>
      <c r="B467" s="20"/>
      <c r="C467" s="20"/>
      <c r="D467" s="22"/>
      <c r="E467" s="20"/>
      <c r="F467" s="20"/>
    </row>
    <row r="468" ht="22.5" customHeight="1">
      <c r="A468" s="20"/>
      <c r="B468" s="20"/>
      <c r="C468" s="20"/>
      <c r="D468" s="22"/>
      <c r="E468" s="20"/>
      <c r="F468" s="20"/>
    </row>
    <row r="469" ht="22.5" customHeight="1">
      <c r="A469" s="20"/>
      <c r="B469" s="20"/>
      <c r="C469" s="20"/>
      <c r="D469" s="22"/>
      <c r="E469" s="20"/>
      <c r="F469" s="20"/>
    </row>
    <row r="470" ht="22.5" customHeight="1">
      <c r="A470" s="20"/>
      <c r="B470" s="20"/>
      <c r="C470" s="20"/>
      <c r="D470" s="22"/>
      <c r="E470" s="20"/>
      <c r="F470" s="20"/>
    </row>
    <row r="471" ht="22.5" customHeight="1">
      <c r="A471" s="20"/>
      <c r="B471" s="20"/>
      <c r="C471" s="20"/>
      <c r="D471" s="22"/>
      <c r="E471" s="20"/>
      <c r="F471" s="20"/>
    </row>
    <row r="472" ht="22.5" customHeight="1">
      <c r="A472" s="20"/>
      <c r="B472" s="20"/>
      <c r="C472" s="20"/>
      <c r="D472" s="22"/>
      <c r="E472" s="20"/>
      <c r="F472" s="20"/>
    </row>
    <row r="473" ht="22.5" customHeight="1">
      <c r="A473" s="20"/>
      <c r="B473" s="20"/>
      <c r="C473" s="20"/>
      <c r="D473" s="22"/>
      <c r="E473" s="20"/>
      <c r="F473" s="20"/>
    </row>
    <row r="474" ht="22.5" customHeight="1">
      <c r="A474" s="20"/>
      <c r="B474" s="20"/>
      <c r="C474" s="20"/>
      <c r="D474" s="22"/>
      <c r="E474" s="20"/>
      <c r="F474" s="20"/>
    </row>
    <row r="475" ht="22.5" customHeight="1">
      <c r="A475" s="20"/>
      <c r="B475" s="20"/>
      <c r="C475" s="20"/>
      <c r="D475" s="22"/>
      <c r="E475" s="20"/>
      <c r="F475" s="20"/>
    </row>
    <row r="476" ht="22.5" customHeight="1">
      <c r="A476" s="20"/>
      <c r="B476" s="20"/>
      <c r="C476" s="20"/>
      <c r="D476" s="22"/>
      <c r="E476" s="20"/>
      <c r="F476" s="20"/>
    </row>
    <row r="477" ht="22.5" customHeight="1">
      <c r="A477" s="20"/>
      <c r="B477" s="20"/>
      <c r="C477" s="20"/>
      <c r="D477" s="22"/>
      <c r="E477" s="20"/>
      <c r="F477" s="20"/>
    </row>
    <row r="478" ht="22.5" customHeight="1">
      <c r="A478" s="20"/>
      <c r="B478" s="20"/>
      <c r="C478" s="20"/>
      <c r="D478" s="22"/>
      <c r="E478" s="20"/>
      <c r="F478" s="20"/>
    </row>
    <row r="479" ht="22.5" customHeight="1">
      <c r="A479" s="20"/>
      <c r="B479" s="20"/>
      <c r="C479" s="20"/>
      <c r="D479" s="22"/>
      <c r="E479" s="20"/>
      <c r="F479" s="20"/>
    </row>
    <row r="480" ht="22.5" customHeight="1">
      <c r="A480" s="20"/>
      <c r="B480" s="20"/>
      <c r="C480" s="20"/>
      <c r="D480" s="22"/>
      <c r="E480" s="20"/>
      <c r="F480" s="20"/>
    </row>
    <row r="481" ht="22.5" customHeight="1">
      <c r="A481" s="20"/>
      <c r="B481" s="20"/>
      <c r="C481" s="20"/>
      <c r="D481" s="22"/>
      <c r="E481" s="20"/>
      <c r="F481" s="20"/>
    </row>
    <row r="482" ht="22.5" customHeight="1">
      <c r="A482" s="20"/>
      <c r="B482" s="20"/>
      <c r="C482" s="20"/>
      <c r="D482" s="22"/>
      <c r="E482" s="20"/>
      <c r="F482" s="20"/>
    </row>
    <row r="483" ht="22.5" customHeight="1">
      <c r="A483" s="20"/>
      <c r="B483" s="20"/>
      <c r="C483" s="20"/>
      <c r="D483" s="22"/>
      <c r="E483" s="20"/>
      <c r="F483" s="20"/>
    </row>
    <row r="484" ht="22.5" customHeight="1">
      <c r="A484" s="20"/>
      <c r="B484" s="20"/>
      <c r="C484" s="20"/>
      <c r="D484" s="22"/>
      <c r="E484" s="20"/>
      <c r="F484" s="20"/>
    </row>
    <row r="485" ht="22.5" customHeight="1">
      <c r="A485" s="20"/>
      <c r="B485" s="20"/>
      <c r="C485" s="20"/>
      <c r="D485" s="22"/>
      <c r="E485" s="20"/>
      <c r="F485" s="20"/>
    </row>
    <row r="486" ht="22.5" customHeight="1">
      <c r="A486" s="20"/>
      <c r="B486" s="20"/>
      <c r="C486" s="20"/>
      <c r="D486" s="22"/>
      <c r="E486" s="20"/>
      <c r="F486" s="20"/>
    </row>
    <row r="487" ht="22.5" customHeight="1">
      <c r="A487" s="20"/>
      <c r="B487" s="20"/>
      <c r="C487" s="20"/>
      <c r="D487" s="22"/>
      <c r="E487" s="20"/>
      <c r="F487" s="20"/>
    </row>
    <row r="488" ht="22.5" customHeight="1">
      <c r="A488" s="20"/>
      <c r="B488" s="20"/>
      <c r="C488" s="20"/>
      <c r="D488" s="22"/>
      <c r="E488" s="20"/>
      <c r="F488" s="20"/>
    </row>
    <row r="489" ht="22.5" customHeight="1">
      <c r="A489" s="20"/>
      <c r="B489" s="20"/>
      <c r="C489" s="20"/>
      <c r="D489" s="22"/>
      <c r="E489" s="20"/>
      <c r="F489" s="20"/>
    </row>
    <row r="490" ht="22.5" customHeight="1">
      <c r="A490" s="20"/>
      <c r="B490" s="20"/>
      <c r="C490" s="20"/>
      <c r="D490" s="22"/>
      <c r="E490" s="20"/>
      <c r="F490" s="20"/>
    </row>
    <row r="491" ht="22.5" customHeight="1">
      <c r="A491" s="20"/>
      <c r="B491" s="20"/>
      <c r="C491" s="20"/>
      <c r="D491" s="22"/>
      <c r="E491" s="20"/>
      <c r="F491" s="20"/>
    </row>
    <row r="492" ht="22.5" customHeight="1">
      <c r="A492" s="20"/>
      <c r="B492" s="20"/>
      <c r="C492" s="20"/>
      <c r="D492" s="22"/>
      <c r="E492" s="20"/>
      <c r="F492" s="20"/>
    </row>
    <row r="493" ht="22.5" customHeight="1">
      <c r="A493" s="20"/>
      <c r="B493" s="20"/>
      <c r="C493" s="20"/>
      <c r="D493" s="22"/>
      <c r="E493" s="20"/>
      <c r="F493" s="20"/>
    </row>
    <row r="494" ht="22.5" customHeight="1">
      <c r="A494" s="20"/>
      <c r="B494" s="20"/>
      <c r="C494" s="20"/>
      <c r="D494" s="22"/>
      <c r="E494" s="20"/>
      <c r="F494" s="20"/>
    </row>
    <row r="495" ht="22.5" customHeight="1">
      <c r="A495" s="20"/>
      <c r="B495" s="20"/>
      <c r="C495" s="20"/>
      <c r="D495" s="22"/>
      <c r="E495" s="20"/>
      <c r="F495" s="20"/>
    </row>
    <row r="496" ht="22.5" customHeight="1">
      <c r="A496" s="20"/>
      <c r="B496" s="20"/>
      <c r="C496" s="20"/>
      <c r="D496" s="22"/>
      <c r="E496" s="20"/>
      <c r="F496" s="20"/>
    </row>
    <row r="497" ht="22.5" customHeight="1">
      <c r="A497" s="20"/>
      <c r="B497" s="20"/>
      <c r="C497" s="20"/>
      <c r="D497" s="22"/>
      <c r="E497" s="20"/>
      <c r="F497" s="20"/>
    </row>
    <row r="498" ht="22.5" customHeight="1">
      <c r="A498" s="20"/>
      <c r="B498" s="20"/>
      <c r="C498" s="20"/>
      <c r="D498" s="22"/>
      <c r="E498" s="20"/>
      <c r="F498" s="20"/>
    </row>
    <row r="499" ht="22.5" customHeight="1">
      <c r="A499" s="20"/>
      <c r="B499" s="20"/>
      <c r="C499" s="20"/>
      <c r="D499" s="22"/>
      <c r="E499" s="20"/>
      <c r="F499" s="20"/>
    </row>
    <row r="500" ht="22.5" customHeight="1">
      <c r="A500" s="20"/>
      <c r="B500" s="20"/>
      <c r="C500" s="20"/>
      <c r="D500" s="22"/>
      <c r="E500" s="20"/>
      <c r="F500" s="20"/>
    </row>
    <row r="501" ht="22.5" customHeight="1">
      <c r="A501" s="20"/>
      <c r="B501" s="20"/>
      <c r="C501" s="20"/>
      <c r="D501" s="22"/>
      <c r="E501" s="20"/>
      <c r="F501" s="20"/>
    </row>
    <row r="502" ht="22.5" customHeight="1">
      <c r="A502" s="20"/>
      <c r="B502" s="20"/>
      <c r="C502" s="20"/>
      <c r="D502" s="22"/>
      <c r="E502" s="20"/>
      <c r="F502" s="20"/>
    </row>
    <row r="503" ht="22.5" customHeight="1">
      <c r="A503" s="20"/>
      <c r="B503" s="20"/>
      <c r="C503" s="20"/>
      <c r="D503" s="22"/>
      <c r="E503" s="20"/>
      <c r="F503" s="20"/>
    </row>
    <row r="504" ht="22.5" customHeight="1">
      <c r="A504" s="20"/>
      <c r="B504" s="20"/>
      <c r="C504" s="20"/>
      <c r="D504" s="22"/>
      <c r="E504" s="20"/>
      <c r="F504" s="20"/>
    </row>
    <row r="505" ht="22.5" customHeight="1">
      <c r="A505" s="20"/>
      <c r="B505" s="20"/>
      <c r="C505" s="20"/>
      <c r="D505" s="22"/>
      <c r="E505" s="20"/>
      <c r="F505" s="20"/>
    </row>
    <row r="506" ht="22.5" customHeight="1">
      <c r="A506" s="20"/>
      <c r="B506" s="20"/>
      <c r="C506" s="20"/>
      <c r="D506" s="22"/>
      <c r="E506" s="20"/>
      <c r="F506" s="20"/>
    </row>
    <row r="507" ht="22.5" customHeight="1">
      <c r="A507" s="20"/>
      <c r="B507" s="20"/>
      <c r="C507" s="20"/>
      <c r="D507" s="22"/>
      <c r="E507" s="20"/>
      <c r="F507" s="20"/>
    </row>
    <row r="508" ht="22.5" customHeight="1">
      <c r="A508" s="20"/>
      <c r="B508" s="20"/>
      <c r="C508" s="20"/>
      <c r="D508" s="22"/>
      <c r="E508" s="20"/>
      <c r="F508" s="20"/>
    </row>
    <row r="509" ht="22.5" customHeight="1">
      <c r="A509" s="20"/>
      <c r="B509" s="20"/>
      <c r="C509" s="20"/>
      <c r="D509" s="22"/>
      <c r="E509" s="20"/>
      <c r="F509" s="20"/>
    </row>
    <row r="510" ht="22.5" customHeight="1">
      <c r="A510" s="20"/>
      <c r="B510" s="20"/>
      <c r="C510" s="20"/>
      <c r="D510" s="22"/>
      <c r="E510" s="20"/>
      <c r="F510" s="20"/>
    </row>
    <row r="511" ht="22.5" customHeight="1">
      <c r="A511" s="20"/>
      <c r="B511" s="20"/>
      <c r="C511" s="20"/>
      <c r="D511" s="22"/>
      <c r="E511" s="20"/>
      <c r="F511" s="20"/>
    </row>
    <row r="512" ht="22.5" customHeight="1">
      <c r="A512" s="20"/>
      <c r="B512" s="20"/>
      <c r="C512" s="20"/>
      <c r="D512" s="22"/>
      <c r="E512" s="20"/>
      <c r="F512" s="20"/>
    </row>
    <row r="513" ht="22.5" customHeight="1">
      <c r="A513" s="20"/>
      <c r="B513" s="20"/>
      <c r="C513" s="20"/>
      <c r="D513" s="22"/>
      <c r="E513" s="20"/>
      <c r="F513" s="20"/>
    </row>
    <row r="514" ht="22.5" customHeight="1">
      <c r="A514" s="20"/>
      <c r="B514" s="20"/>
      <c r="C514" s="20"/>
      <c r="D514" s="22"/>
      <c r="E514" s="20"/>
      <c r="F514" s="20"/>
    </row>
    <row r="515" ht="22.5" customHeight="1">
      <c r="A515" s="20"/>
      <c r="B515" s="20"/>
      <c r="C515" s="20"/>
      <c r="D515" s="22"/>
      <c r="E515" s="20"/>
      <c r="F515" s="20"/>
    </row>
    <row r="516" ht="22.5" customHeight="1">
      <c r="A516" s="20"/>
      <c r="B516" s="20"/>
      <c r="C516" s="20"/>
      <c r="D516" s="22"/>
      <c r="E516" s="20"/>
      <c r="F516" s="20"/>
    </row>
    <row r="517" ht="22.5" customHeight="1">
      <c r="A517" s="20"/>
      <c r="B517" s="20"/>
      <c r="C517" s="20"/>
      <c r="D517" s="22"/>
      <c r="E517" s="20"/>
      <c r="F517" s="20"/>
    </row>
    <row r="518" ht="22.5" customHeight="1">
      <c r="A518" s="20"/>
      <c r="B518" s="20"/>
      <c r="C518" s="20"/>
      <c r="D518" s="22"/>
      <c r="E518" s="20"/>
      <c r="F518" s="20"/>
    </row>
    <row r="519" ht="22.5" customHeight="1">
      <c r="A519" s="20"/>
      <c r="B519" s="20"/>
      <c r="C519" s="20"/>
      <c r="D519" s="22"/>
      <c r="E519" s="20"/>
      <c r="F519" s="20"/>
    </row>
    <row r="520" ht="22.5" customHeight="1">
      <c r="A520" s="20"/>
      <c r="B520" s="20"/>
      <c r="C520" s="20"/>
      <c r="D520" s="22"/>
      <c r="E520" s="20"/>
      <c r="F520" s="20"/>
    </row>
    <row r="521" ht="22.5" customHeight="1">
      <c r="A521" s="20"/>
      <c r="B521" s="20"/>
      <c r="C521" s="20"/>
      <c r="D521" s="22"/>
      <c r="E521" s="20"/>
      <c r="F521" s="20"/>
    </row>
    <row r="522" ht="22.5" customHeight="1">
      <c r="A522" s="20"/>
      <c r="B522" s="20"/>
      <c r="C522" s="20"/>
      <c r="D522" s="22"/>
      <c r="E522" s="20"/>
      <c r="F522" s="20"/>
    </row>
    <row r="523" ht="22.5" customHeight="1">
      <c r="A523" s="20"/>
      <c r="B523" s="20"/>
      <c r="C523" s="20"/>
      <c r="D523" s="22"/>
      <c r="E523" s="20"/>
      <c r="F523" s="20"/>
    </row>
    <row r="524" ht="22.5" customHeight="1">
      <c r="A524" s="20"/>
      <c r="B524" s="20"/>
      <c r="C524" s="20"/>
      <c r="D524" s="22"/>
      <c r="E524" s="20"/>
      <c r="F524" s="20"/>
    </row>
    <row r="525" ht="22.5" customHeight="1">
      <c r="A525" s="20"/>
      <c r="B525" s="20"/>
      <c r="C525" s="20"/>
      <c r="D525" s="22"/>
      <c r="E525" s="20"/>
      <c r="F525" s="20"/>
    </row>
    <row r="526" ht="22.5" customHeight="1">
      <c r="A526" s="20"/>
      <c r="B526" s="20"/>
      <c r="C526" s="20"/>
      <c r="D526" s="22"/>
      <c r="E526" s="20"/>
      <c r="F526" s="20"/>
    </row>
    <row r="527" ht="22.5" customHeight="1">
      <c r="A527" s="20"/>
      <c r="B527" s="20"/>
      <c r="C527" s="20"/>
      <c r="D527" s="22"/>
      <c r="E527" s="20"/>
      <c r="F527" s="20"/>
    </row>
    <row r="528" ht="22.5" customHeight="1">
      <c r="A528" s="20"/>
      <c r="B528" s="20"/>
      <c r="C528" s="20"/>
      <c r="D528" s="22"/>
      <c r="E528" s="20"/>
      <c r="F528" s="20"/>
    </row>
    <row r="529" ht="22.5" customHeight="1">
      <c r="A529" s="20"/>
      <c r="B529" s="20"/>
      <c r="C529" s="20"/>
      <c r="D529" s="22"/>
      <c r="E529" s="20"/>
      <c r="F529" s="20"/>
    </row>
    <row r="530" ht="22.5" customHeight="1">
      <c r="A530" s="20"/>
      <c r="B530" s="20"/>
      <c r="C530" s="20"/>
      <c r="D530" s="22"/>
      <c r="E530" s="20"/>
      <c r="F530" s="20"/>
    </row>
    <row r="531" ht="22.5" customHeight="1">
      <c r="A531" s="20"/>
      <c r="B531" s="20"/>
      <c r="C531" s="20"/>
      <c r="D531" s="22"/>
      <c r="E531" s="20"/>
      <c r="F531" s="20"/>
    </row>
    <row r="532" ht="22.5" customHeight="1">
      <c r="A532" s="20"/>
      <c r="B532" s="20"/>
      <c r="C532" s="20"/>
      <c r="D532" s="22"/>
      <c r="E532" s="20"/>
      <c r="F532" s="20"/>
    </row>
    <row r="533" ht="22.5" customHeight="1">
      <c r="A533" s="20"/>
      <c r="B533" s="20"/>
      <c r="C533" s="20"/>
      <c r="D533" s="22"/>
      <c r="E533" s="20"/>
      <c r="F533" s="20"/>
    </row>
    <row r="534" ht="22.5" customHeight="1">
      <c r="A534" s="20"/>
      <c r="B534" s="20"/>
      <c r="C534" s="20"/>
      <c r="D534" s="22"/>
      <c r="E534" s="20"/>
      <c r="F534" s="20"/>
    </row>
    <row r="535" ht="22.5" customHeight="1">
      <c r="A535" s="20"/>
      <c r="B535" s="20"/>
      <c r="C535" s="20"/>
      <c r="D535" s="22"/>
      <c r="E535" s="20"/>
      <c r="F535" s="20"/>
    </row>
    <row r="536" ht="22.5" customHeight="1">
      <c r="A536" s="20"/>
      <c r="B536" s="20"/>
      <c r="C536" s="20"/>
      <c r="D536" s="22"/>
      <c r="E536" s="20"/>
      <c r="F536" s="20"/>
    </row>
    <row r="537" ht="22.5" customHeight="1">
      <c r="A537" s="20"/>
      <c r="B537" s="20"/>
      <c r="C537" s="20"/>
      <c r="D537" s="22"/>
      <c r="E537" s="20"/>
      <c r="F537" s="20"/>
    </row>
    <row r="538" ht="22.5" customHeight="1">
      <c r="A538" s="20"/>
      <c r="B538" s="20"/>
      <c r="C538" s="20"/>
      <c r="D538" s="22"/>
      <c r="E538" s="20"/>
      <c r="F538" s="20"/>
    </row>
    <row r="539" ht="22.5" customHeight="1">
      <c r="A539" s="20"/>
      <c r="B539" s="20"/>
      <c r="C539" s="20"/>
      <c r="D539" s="22"/>
      <c r="E539" s="20"/>
      <c r="F539" s="20"/>
    </row>
    <row r="540" ht="22.5" customHeight="1">
      <c r="A540" s="20"/>
      <c r="B540" s="20"/>
      <c r="C540" s="20"/>
      <c r="D540" s="22"/>
      <c r="E540" s="20"/>
      <c r="F540" s="20"/>
    </row>
    <row r="541" ht="22.5" customHeight="1">
      <c r="A541" s="20"/>
      <c r="B541" s="20"/>
      <c r="C541" s="20"/>
      <c r="D541" s="22"/>
      <c r="E541" s="20"/>
      <c r="F541" s="20"/>
    </row>
    <row r="542" ht="22.5" customHeight="1">
      <c r="A542" s="20"/>
      <c r="B542" s="20"/>
      <c r="C542" s="20"/>
      <c r="D542" s="22"/>
      <c r="E542" s="20"/>
      <c r="F542" s="20"/>
    </row>
    <row r="543" ht="22.5" customHeight="1">
      <c r="A543" s="20"/>
      <c r="B543" s="20"/>
      <c r="C543" s="20"/>
      <c r="D543" s="22"/>
      <c r="E543" s="20"/>
      <c r="F543" s="20"/>
    </row>
    <row r="544" ht="22.5" customHeight="1">
      <c r="A544" s="20"/>
      <c r="B544" s="20"/>
      <c r="C544" s="20"/>
      <c r="D544" s="22"/>
      <c r="E544" s="20"/>
      <c r="F544" s="20"/>
    </row>
    <row r="545" ht="22.5" customHeight="1">
      <c r="A545" s="20"/>
      <c r="B545" s="20"/>
      <c r="C545" s="20"/>
      <c r="D545" s="22"/>
      <c r="E545" s="20"/>
      <c r="F545" s="20"/>
    </row>
    <row r="546" ht="22.5" customHeight="1">
      <c r="A546" s="20"/>
      <c r="B546" s="20"/>
      <c r="C546" s="20"/>
      <c r="D546" s="22"/>
      <c r="E546" s="20"/>
      <c r="F546" s="20"/>
    </row>
    <row r="547" ht="22.5" customHeight="1">
      <c r="A547" s="20"/>
      <c r="B547" s="20"/>
      <c r="C547" s="20"/>
      <c r="D547" s="22"/>
      <c r="E547" s="20"/>
      <c r="F547" s="20"/>
    </row>
    <row r="548" ht="22.5" customHeight="1">
      <c r="A548" s="20"/>
      <c r="B548" s="20"/>
      <c r="C548" s="20"/>
      <c r="D548" s="22"/>
      <c r="E548" s="20"/>
      <c r="F548" s="20"/>
    </row>
    <row r="549" ht="22.5" customHeight="1">
      <c r="A549" s="20"/>
      <c r="B549" s="20"/>
      <c r="C549" s="20"/>
      <c r="D549" s="22"/>
      <c r="E549" s="20"/>
      <c r="F549" s="20"/>
    </row>
    <row r="550" ht="22.5" customHeight="1">
      <c r="A550" s="20"/>
      <c r="B550" s="20"/>
      <c r="C550" s="20"/>
      <c r="D550" s="22"/>
      <c r="E550" s="20"/>
      <c r="F550" s="20"/>
    </row>
    <row r="551" ht="22.5" customHeight="1">
      <c r="A551" s="20"/>
      <c r="B551" s="20"/>
      <c r="C551" s="20"/>
      <c r="D551" s="22"/>
      <c r="E551" s="20"/>
      <c r="F551" s="20"/>
    </row>
    <row r="552" ht="22.5" customHeight="1">
      <c r="A552" s="20"/>
      <c r="B552" s="20"/>
      <c r="C552" s="20"/>
      <c r="D552" s="22"/>
      <c r="E552" s="20"/>
      <c r="F552" s="20"/>
    </row>
    <row r="553" ht="22.5" customHeight="1">
      <c r="A553" s="20"/>
      <c r="B553" s="20"/>
      <c r="C553" s="20"/>
      <c r="D553" s="22"/>
      <c r="E553" s="20"/>
      <c r="F553" s="20"/>
    </row>
    <row r="554" ht="22.5" customHeight="1">
      <c r="A554" s="20"/>
      <c r="B554" s="20"/>
      <c r="C554" s="20"/>
      <c r="D554" s="22"/>
      <c r="E554" s="20"/>
      <c r="F554" s="20"/>
    </row>
    <row r="555" ht="22.5" customHeight="1">
      <c r="A555" s="20"/>
      <c r="B555" s="20"/>
      <c r="C555" s="20"/>
      <c r="D555" s="22"/>
      <c r="E555" s="20"/>
      <c r="F555" s="20"/>
    </row>
    <row r="556" ht="22.5" customHeight="1">
      <c r="A556" s="20"/>
      <c r="B556" s="20"/>
      <c r="C556" s="20"/>
      <c r="D556" s="22"/>
      <c r="E556" s="20"/>
      <c r="F556" s="20"/>
    </row>
    <row r="557" ht="22.5" customHeight="1">
      <c r="A557" s="20"/>
      <c r="B557" s="20"/>
      <c r="C557" s="20"/>
      <c r="D557" s="22"/>
      <c r="E557" s="20"/>
      <c r="F557" s="20"/>
    </row>
    <row r="558" ht="22.5" customHeight="1">
      <c r="A558" s="20"/>
      <c r="B558" s="20"/>
      <c r="C558" s="20"/>
      <c r="D558" s="22"/>
      <c r="E558" s="20"/>
      <c r="F558" s="20"/>
    </row>
    <row r="559" ht="22.5" customHeight="1">
      <c r="A559" s="20"/>
      <c r="B559" s="20"/>
      <c r="C559" s="20"/>
      <c r="D559" s="22"/>
      <c r="E559" s="20"/>
      <c r="F559" s="20"/>
    </row>
    <row r="560" ht="22.5" customHeight="1">
      <c r="A560" s="20"/>
      <c r="B560" s="20"/>
      <c r="C560" s="20"/>
      <c r="D560" s="22"/>
      <c r="E560" s="20"/>
      <c r="F560" s="20"/>
    </row>
    <row r="561" ht="22.5" customHeight="1">
      <c r="A561" s="20"/>
      <c r="B561" s="20"/>
      <c r="C561" s="20"/>
      <c r="D561" s="22"/>
      <c r="E561" s="20"/>
      <c r="F561" s="20"/>
    </row>
    <row r="562" ht="22.5" customHeight="1">
      <c r="A562" s="20"/>
      <c r="B562" s="20"/>
      <c r="C562" s="20"/>
      <c r="D562" s="22"/>
      <c r="E562" s="20"/>
      <c r="F562" s="20"/>
    </row>
    <row r="563" ht="22.5" customHeight="1">
      <c r="A563" s="20"/>
      <c r="B563" s="20"/>
      <c r="C563" s="20"/>
      <c r="D563" s="22"/>
      <c r="E563" s="20"/>
      <c r="F563" s="20"/>
    </row>
    <row r="564" ht="22.5" customHeight="1">
      <c r="A564" s="20"/>
      <c r="B564" s="20"/>
      <c r="C564" s="20"/>
      <c r="D564" s="22"/>
      <c r="E564" s="20"/>
      <c r="F564" s="20"/>
    </row>
    <row r="565" ht="22.5" customHeight="1">
      <c r="A565" s="20"/>
      <c r="B565" s="20"/>
      <c r="C565" s="20"/>
      <c r="D565" s="22"/>
      <c r="E565" s="20"/>
      <c r="F565" s="20"/>
    </row>
    <row r="566" ht="22.5" customHeight="1">
      <c r="A566" s="20"/>
      <c r="B566" s="20"/>
      <c r="C566" s="20"/>
      <c r="D566" s="22"/>
      <c r="E566" s="20"/>
      <c r="F566" s="20"/>
    </row>
    <row r="567" ht="22.5" customHeight="1">
      <c r="A567" s="20"/>
      <c r="B567" s="20"/>
      <c r="C567" s="20"/>
      <c r="D567" s="22"/>
      <c r="E567" s="20"/>
      <c r="F567" s="20"/>
    </row>
    <row r="568" ht="22.5" customHeight="1">
      <c r="A568" s="20"/>
      <c r="B568" s="20"/>
      <c r="C568" s="20"/>
      <c r="D568" s="22"/>
      <c r="E568" s="20"/>
      <c r="F568" s="20"/>
    </row>
    <row r="569" ht="22.5" customHeight="1">
      <c r="A569" s="20"/>
      <c r="B569" s="20"/>
      <c r="C569" s="20"/>
      <c r="D569" s="22"/>
      <c r="E569" s="20"/>
      <c r="F569" s="20"/>
    </row>
    <row r="570" ht="22.5" customHeight="1">
      <c r="A570" s="20"/>
      <c r="B570" s="20"/>
      <c r="C570" s="20"/>
      <c r="D570" s="22"/>
      <c r="E570" s="20"/>
      <c r="F570" s="20"/>
    </row>
    <row r="571" ht="22.5" customHeight="1">
      <c r="A571" s="20"/>
      <c r="B571" s="20"/>
      <c r="C571" s="20"/>
      <c r="D571" s="22"/>
      <c r="E571" s="20"/>
      <c r="F571" s="20"/>
    </row>
    <row r="572" ht="22.5" customHeight="1">
      <c r="A572" s="20"/>
      <c r="B572" s="20"/>
      <c r="C572" s="20"/>
      <c r="D572" s="22"/>
      <c r="E572" s="20"/>
      <c r="F572" s="20"/>
    </row>
    <row r="573" ht="22.5" customHeight="1">
      <c r="A573" s="20"/>
      <c r="B573" s="20"/>
      <c r="C573" s="20"/>
      <c r="D573" s="22"/>
      <c r="E573" s="20"/>
      <c r="F573" s="20"/>
    </row>
    <row r="574" ht="22.5" customHeight="1">
      <c r="A574" s="20"/>
      <c r="B574" s="20"/>
      <c r="C574" s="20"/>
      <c r="D574" s="22"/>
      <c r="E574" s="20"/>
      <c r="F574" s="20"/>
    </row>
    <row r="575" ht="22.5" customHeight="1">
      <c r="A575" s="20"/>
      <c r="B575" s="20"/>
      <c r="C575" s="20"/>
      <c r="D575" s="22"/>
      <c r="E575" s="20"/>
      <c r="F575" s="20"/>
    </row>
    <row r="576" ht="22.5" customHeight="1">
      <c r="A576" s="20"/>
      <c r="B576" s="20"/>
      <c r="C576" s="20"/>
      <c r="D576" s="22"/>
      <c r="E576" s="20"/>
      <c r="F576" s="20"/>
    </row>
    <row r="577" ht="22.5" customHeight="1">
      <c r="A577" s="20"/>
      <c r="B577" s="20"/>
      <c r="C577" s="20"/>
      <c r="D577" s="22"/>
      <c r="E577" s="20"/>
      <c r="F577" s="20"/>
    </row>
    <row r="578" ht="22.5" customHeight="1">
      <c r="A578" s="20"/>
      <c r="B578" s="20"/>
      <c r="C578" s="20"/>
      <c r="D578" s="22"/>
      <c r="E578" s="20"/>
      <c r="F578" s="20"/>
    </row>
    <row r="579" ht="22.5" customHeight="1">
      <c r="A579" s="20"/>
      <c r="B579" s="20"/>
      <c r="C579" s="20"/>
      <c r="D579" s="22"/>
      <c r="E579" s="20"/>
      <c r="F579" s="20"/>
    </row>
    <row r="580" ht="22.5" customHeight="1">
      <c r="A580" s="20"/>
      <c r="B580" s="20"/>
      <c r="C580" s="20"/>
      <c r="D580" s="22"/>
      <c r="E580" s="20"/>
      <c r="F580" s="20"/>
    </row>
    <row r="581" ht="22.5" customHeight="1">
      <c r="A581" s="20"/>
      <c r="B581" s="20"/>
      <c r="C581" s="20"/>
      <c r="D581" s="22"/>
      <c r="E581" s="20"/>
      <c r="F581" s="20"/>
    </row>
    <row r="582" ht="22.5" customHeight="1">
      <c r="A582" s="20"/>
      <c r="B582" s="20"/>
      <c r="C582" s="20"/>
      <c r="D582" s="22"/>
      <c r="E582" s="20"/>
      <c r="F582" s="20"/>
    </row>
    <row r="583" ht="22.5" customHeight="1">
      <c r="A583" s="20"/>
      <c r="B583" s="20"/>
      <c r="C583" s="20"/>
      <c r="D583" s="22"/>
      <c r="E583" s="20"/>
      <c r="F583" s="20"/>
    </row>
    <row r="584" ht="22.5" customHeight="1">
      <c r="A584" s="20"/>
      <c r="B584" s="20"/>
      <c r="C584" s="20"/>
      <c r="D584" s="22"/>
      <c r="E584" s="20"/>
      <c r="F584" s="20"/>
    </row>
    <row r="585" ht="22.5" customHeight="1">
      <c r="A585" s="20"/>
      <c r="B585" s="20"/>
      <c r="C585" s="20"/>
      <c r="D585" s="22"/>
      <c r="E585" s="20"/>
      <c r="F585" s="20"/>
    </row>
    <row r="586" ht="22.5" customHeight="1">
      <c r="A586" s="20"/>
      <c r="B586" s="20"/>
      <c r="C586" s="20"/>
      <c r="D586" s="22"/>
      <c r="E586" s="20"/>
      <c r="F586" s="20"/>
    </row>
    <row r="587" ht="22.5" customHeight="1">
      <c r="A587" s="20"/>
      <c r="B587" s="20"/>
      <c r="C587" s="20"/>
      <c r="D587" s="22"/>
      <c r="E587" s="20"/>
      <c r="F587" s="20"/>
    </row>
    <row r="588" ht="22.5" customHeight="1">
      <c r="A588" s="20"/>
      <c r="B588" s="20"/>
      <c r="C588" s="20"/>
      <c r="D588" s="22"/>
      <c r="E588" s="20"/>
      <c r="F588" s="20"/>
    </row>
    <row r="589" ht="22.5" customHeight="1">
      <c r="A589" s="20"/>
      <c r="B589" s="20"/>
      <c r="C589" s="20"/>
      <c r="D589" s="22"/>
      <c r="E589" s="20"/>
      <c r="F589" s="20"/>
    </row>
    <row r="590" ht="22.5" customHeight="1">
      <c r="A590" s="20"/>
      <c r="B590" s="20"/>
      <c r="C590" s="20"/>
      <c r="D590" s="22"/>
      <c r="E590" s="20"/>
      <c r="F590" s="20"/>
    </row>
    <row r="591" ht="22.5" customHeight="1">
      <c r="A591" s="20"/>
      <c r="B591" s="20"/>
      <c r="C591" s="20"/>
      <c r="D591" s="22"/>
      <c r="E591" s="20"/>
      <c r="F591" s="20"/>
    </row>
    <row r="592" ht="22.5" customHeight="1">
      <c r="A592" s="20"/>
      <c r="B592" s="20"/>
      <c r="C592" s="20"/>
      <c r="D592" s="22"/>
      <c r="E592" s="20"/>
      <c r="F592" s="20"/>
    </row>
    <row r="593" ht="22.5" customHeight="1">
      <c r="A593" s="20"/>
      <c r="B593" s="20"/>
      <c r="C593" s="20"/>
      <c r="D593" s="22"/>
      <c r="E593" s="20"/>
      <c r="F593" s="20"/>
    </row>
    <row r="594" ht="22.5" customHeight="1">
      <c r="A594" s="20"/>
      <c r="B594" s="20"/>
      <c r="C594" s="20"/>
      <c r="D594" s="22"/>
      <c r="E594" s="20"/>
      <c r="F594" s="20"/>
    </row>
    <row r="595" ht="22.5" customHeight="1">
      <c r="A595" s="20"/>
      <c r="B595" s="20"/>
      <c r="C595" s="20"/>
      <c r="D595" s="22"/>
      <c r="E595" s="20"/>
      <c r="F595" s="20"/>
    </row>
    <row r="596" ht="22.5" customHeight="1">
      <c r="A596" s="20"/>
      <c r="B596" s="20"/>
      <c r="C596" s="20"/>
      <c r="D596" s="22"/>
      <c r="E596" s="20"/>
      <c r="F596" s="20"/>
    </row>
    <row r="597" ht="22.5" customHeight="1">
      <c r="A597" s="20"/>
      <c r="B597" s="20"/>
      <c r="C597" s="20"/>
      <c r="D597" s="22"/>
      <c r="E597" s="20"/>
      <c r="F597" s="20"/>
    </row>
    <row r="598" ht="22.5" customHeight="1">
      <c r="A598" s="20"/>
      <c r="B598" s="20"/>
      <c r="C598" s="20"/>
      <c r="D598" s="22"/>
      <c r="E598" s="20"/>
      <c r="F598" s="20"/>
    </row>
    <row r="599" ht="22.5" customHeight="1">
      <c r="A599" s="20"/>
      <c r="B599" s="20"/>
      <c r="C599" s="20"/>
      <c r="D599" s="22"/>
      <c r="E599" s="20"/>
      <c r="F599" s="20"/>
    </row>
    <row r="600" ht="22.5" customHeight="1">
      <c r="A600" s="20"/>
      <c r="B600" s="20"/>
      <c r="C600" s="20"/>
      <c r="D600" s="22"/>
      <c r="E600" s="20"/>
      <c r="F600" s="20"/>
    </row>
    <row r="601" ht="22.5" customHeight="1">
      <c r="A601" s="20"/>
      <c r="B601" s="20"/>
      <c r="C601" s="20"/>
      <c r="D601" s="22"/>
      <c r="E601" s="20"/>
      <c r="F601" s="20"/>
    </row>
    <row r="602" ht="22.5" customHeight="1">
      <c r="A602" s="20"/>
      <c r="B602" s="20"/>
      <c r="C602" s="20"/>
      <c r="D602" s="22"/>
      <c r="E602" s="20"/>
      <c r="F602" s="20"/>
    </row>
    <row r="603" ht="22.5" customHeight="1">
      <c r="A603" s="20"/>
      <c r="B603" s="20"/>
      <c r="C603" s="20"/>
      <c r="D603" s="22"/>
      <c r="E603" s="20"/>
      <c r="F603" s="20"/>
    </row>
    <row r="604" ht="22.5" customHeight="1">
      <c r="A604" s="20"/>
      <c r="B604" s="20"/>
      <c r="C604" s="20"/>
      <c r="D604" s="22"/>
      <c r="E604" s="20"/>
      <c r="F604" s="20"/>
    </row>
    <row r="605" ht="22.5" customHeight="1">
      <c r="A605" s="20"/>
      <c r="B605" s="20"/>
      <c r="C605" s="20"/>
      <c r="D605" s="22"/>
      <c r="E605" s="20"/>
      <c r="F605" s="20"/>
    </row>
    <row r="606" ht="22.5" customHeight="1">
      <c r="A606" s="20"/>
      <c r="B606" s="20"/>
      <c r="C606" s="20"/>
      <c r="D606" s="22"/>
      <c r="E606" s="20"/>
      <c r="F606" s="20"/>
    </row>
    <row r="607" ht="22.5" customHeight="1">
      <c r="A607" s="20"/>
      <c r="B607" s="20"/>
      <c r="C607" s="20"/>
      <c r="D607" s="22"/>
      <c r="E607" s="20"/>
      <c r="F607" s="20"/>
    </row>
    <row r="608" ht="22.5" customHeight="1">
      <c r="A608" s="20"/>
      <c r="B608" s="20"/>
      <c r="C608" s="20"/>
      <c r="D608" s="22"/>
      <c r="E608" s="20"/>
      <c r="F608" s="20"/>
    </row>
    <row r="609" ht="22.5" customHeight="1">
      <c r="A609" s="20"/>
      <c r="B609" s="20"/>
      <c r="C609" s="20"/>
      <c r="D609" s="22"/>
      <c r="E609" s="20"/>
      <c r="F609" s="20"/>
    </row>
    <row r="610" ht="22.5" customHeight="1">
      <c r="A610" s="20"/>
      <c r="B610" s="20"/>
      <c r="C610" s="20"/>
      <c r="D610" s="22"/>
      <c r="E610" s="20"/>
      <c r="F610" s="20"/>
    </row>
    <row r="611" ht="22.5" customHeight="1">
      <c r="A611" s="20"/>
      <c r="B611" s="20"/>
      <c r="C611" s="20"/>
      <c r="D611" s="22"/>
      <c r="E611" s="20"/>
      <c r="F611" s="20"/>
    </row>
    <row r="612" ht="22.5" customHeight="1">
      <c r="A612" s="20"/>
      <c r="B612" s="20"/>
      <c r="C612" s="20"/>
      <c r="D612" s="22"/>
      <c r="E612" s="20"/>
      <c r="F612" s="20"/>
    </row>
    <row r="613" ht="22.5" customHeight="1">
      <c r="A613" s="20"/>
      <c r="B613" s="20"/>
      <c r="C613" s="20"/>
      <c r="D613" s="22"/>
      <c r="E613" s="20"/>
      <c r="F613" s="20"/>
    </row>
    <row r="614" ht="22.5" customHeight="1">
      <c r="A614" s="20"/>
      <c r="B614" s="20"/>
      <c r="C614" s="20"/>
      <c r="D614" s="22"/>
      <c r="E614" s="20"/>
      <c r="F614" s="20"/>
    </row>
    <row r="615" ht="22.5" customHeight="1">
      <c r="A615" s="20"/>
      <c r="B615" s="20"/>
      <c r="C615" s="20"/>
      <c r="D615" s="22"/>
      <c r="E615" s="20"/>
      <c r="F615" s="20"/>
    </row>
    <row r="616" ht="22.5" customHeight="1">
      <c r="A616" s="20"/>
      <c r="B616" s="20"/>
      <c r="C616" s="20"/>
      <c r="D616" s="22"/>
      <c r="E616" s="20"/>
      <c r="F616" s="20"/>
    </row>
    <row r="617" ht="22.5" customHeight="1">
      <c r="A617" s="20"/>
      <c r="B617" s="20"/>
      <c r="C617" s="20"/>
      <c r="D617" s="22"/>
      <c r="E617" s="20"/>
      <c r="F617" s="20"/>
    </row>
    <row r="618" ht="22.5" customHeight="1">
      <c r="A618" s="20"/>
      <c r="B618" s="20"/>
      <c r="C618" s="20"/>
      <c r="D618" s="22"/>
      <c r="E618" s="20"/>
      <c r="F618" s="20"/>
    </row>
    <row r="619" ht="22.5" customHeight="1">
      <c r="A619" s="20"/>
      <c r="B619" s="20"/>
      <c r="C619" s="20"/>
      <c r="D619" s="22"/>
      <c r="E619" s="20"/>
      <c r="F619" s="20"/>
    </row>
    <row r="620" ht="22.5" customHeight="1">
      <c r="A620" s="20"/>
      <c r="B620" s="20"/>
      <c r="C620" s="20"/>
      <c r="D620" s="22"/>
      <c r="E620" s="20"/>
      <c r="F620" s="20"/>
    </row>
    <row r="621" ht="22.5" customHeight="1">
      <c r="A621" s="20"/>
      <c r="B621" s="20"/>
      <c r="C621" s="20"/>
      <c r="D621" s="22"/>
      <c r="E621" s="20"/>
      <c r="F621" s="20"/>
    </row>
    <row r="622" ht="22.5" customHeight="1">
      <c r="A622" s="20"/>
      <c r="B622" s="20"/>
      <c r="C622" s="20"/>
      <c r="D622" s="22"/>
      <c r="E622" s="20"/>
      <c r="F622" s="20"/>
    </row>
    <row r="623" ht="22.5" customHeight="1">
      <c r="A623" s="20"/>
      <c r="B623" s="20"/>
      <c r="C623" s="20"/>
      <c r="D623" s="22"/>
      <c r="E623" s="20"/>
      <c r="F623" s="20"/>
    </row>
    <row r="624" ht="22.5" customHeight="1">
      <c r="A624" s="20"/>
      <c r="B624" s="20"/>
      <c r="C624" s="20"/>
      <c r="D624" s="22"/>
      <c r="E624" s="20"/>
      <c r="F624" s="20"/>
    </row>
    <row r="625" ht="22.5" customHeight="1">
      <c r="A625" s="20"/>
      <c r="B625" s="20"/>
      <c r="C625" s="20"/>
      <c r="D625" s="22"/>
      <c r="E625" s="20"/>
      <c r="F625" s="20"/>
    </row>
    <row r="626" ht="22.5" customHeight="1">
      <c r="A626" s="20"/>
      <c r="B626" s="20"/>
      <c r="C626" s="20"/>
      <c r="D626" s="22"/>
      <c r="E626" s="20"/>
      <c r="F626" s="20"/>
    </row>
    <row r="627" ht="22.5" customHeight="1">
      <c r="A627" s="20"/>
      <c r="B627" s="20"/>
      <c r="C627" s="20"/>
      <c r="D627" s="22"/>
      <c r="E627" s="20"/>
      <c r="F627" s="20"/>
    </row>
    <row r="628" ht="22.5" customHeight="1">
      <c r="A628" s="20"/>
      <c r="B628" s="20"/>
      <c r="C628" s="20"/>
      <c r="D628" s="22"/>
      <c r="E628" s="20"/>
      <c r="F628" s="20"/>
    </row>
    <row r="629" ht="22.5" customHeight="1">
      <c r="A629" s="20"/>
      <c r="B629" s="20"/>
      <c r="C629" s="20"/>
      <c r="D629" s="22"/>
      <c r="E629" s="20"/>
      <c r="F629" s="20"/>
    </row>
    <row r="630" ht="22.5" customHeight="1">
      <c r="A630" s="20"/>
      <c r="B630" s="20"/>
      <c r="C630" s="20"/>
      <c r="D630" s="22"/>
      <c r="E630" s="20"/>
      <c r="F630" s="20"/>
    </row>
    <row r="631" ht="22.5" customHeight="1">
      <c r="A631" s="20"/>
      <c r="B631" s="20"/>
      <c r="C631" s="20"/>
      <c r="D631" s="22"/>
      <c r="E631" s="20"/>
      <c r="F631" s="20"/>
    </row>
    <row r="632" ht="22.5" customHeight="1">
      <c r="A632" s="20"/>
      <c r="B632" s="20"/>
      <c r="C632" s="20"/>
      <c r="D632" s="22"/>
      <c r="E632" s="20"/>
      <c r="F632" s="20"/>
    </row>
    <row r="633" ht="22.5" customHeight="1">
      <c r="A633" s="20"/>
      <c r="B633" s="20"/>
      <c r="C633" s="20"/>
      <c r="D633" s="22"/>
      <c r="E633" s="20"/>
      <c r="F633" s="20"/>
    </row>
    <row r="634" ht="22.5" customHeight="1">
      <c r="A634" s="20"/>
      <c r="B634" s="20"/>
      <c r="C634" s="20"/>
      <c r="D634" s="22"/>
      <c r="E634" s="20"/>
      <c r="F634" s="20"/>
    </row>
    <row r="635" ht="22.5" customHeight="1">
      <c r="A635" s="20"/>
      <c r="B635" s="20"/>
      <c r="C635" s="20"/>
      <c r="D635" s="22"/>
      <c r="E635" s="20"/>
      <c r="F635" s="20"/>
    </row>
    <row r="636" ht="22.5" customHeight="1">
      <c r="A636" s="20"/>
      <c r="B636" s="20"/>
      <c r="C636" s="20"/>
      <c r="D636" s="22"/>
      <c r="E636" s="20"/>
      <c r="F636" s="20"/>
    </row>
    <row r="637" ht="22.5" customHeight="1">
      <c r="A637" s="20"/>
      <c r="B637" s="20"/>
      <c r="C637" s="20"/>
      <c r="D637" s="22"/>
      <c r="E637" s="20"/>
      <c r="F637" s="20"/>
    </row>
    <row r="638" ht="22.5" customHeight="1">
      <c r="A638" s="20"/>
      <c r="B638" s="20"/>
      <c r="C638" s="20"/>
      <c r="D638" s="22"/>
      <c r="E638" s="20"/>
      <c r="F638" s="20"/>
    </row>
    <row r="639" ht="22.5" customHeight="1">
      <c r="A639" s="20"/>
      <c r="B639" s="20"/>
      <c r="C639" s="20"/>
      <c r="D639" s="22"/>
      <c r="E639" s="20"/>
      <c r="F639" s="20"/>
    </row>
    <row r="640" ht="22.5" customHeight="1">
      <c r="A640" s="20"/>
      <c r="B640" s="20"/>
      <c r="C640" s="20"/>
      <c r="D640" s="22"/>
      <c r="E640" s="20"/>
      <c r="F640" s="20"/>
    </row>
    <row r="641" ht="22.5" customHeight="1">
      <c r="A641" s="20"/>
      <c r="B641" s="20"/>
      <c r="C641" s="20"/>
      <c r="D641" s="22"/>
      <c r="E641" s="20"/>
      <c r="F641" s="20"/>
    </row>
    <row r="642" ht="22.5" customHeight="1">
      <c r="A642" s="20"/>
      <c r="B642" s="20"/>
      <c r="C642" s="20"/>
      <c r="D642" s="22"/>
      <c r="E642" s="20"/>
      <c r="F642" s="20"/>
    </row>
    <row r="643" ht="22.5" customHeight="1">
      <c r="A643" s="20"/>
      <c r="B643" s="20"/>
      <c r="C643" s="20"/>
      <c r="D643" s="22"/>
      <c r="E643" s="20"/>
      <c r="F643" s="20"/>
    </row>
    <row r="644" ht="22.5" customHeight="1">
      <c r="A644" s="20"/>
      <c r="B644" s="20"/>
      <c r="C644" s="20"/>
      <c r="D644" s="22"/>
      <c r="E644" s="20"/>
      <c r="F644" s="20"/>
    </row>
    <row r="645" ht="22.5" customHeight="1">
      <c r="A645" s="20"/>
      <c r="B645" s="20"/>
      <c r="C645" s="20"/>
      <c r="D645" s="22"/>
      <c r="E645" s="20"/>
      <c r="F645" s="20"/>
    </row>
    <row r="646" ht="22.5" customHeight="1">
      <c r="A646" s="20"/>
      <c r="B646" s="20"/>
      <c r="C646" s="20"/>
      <c r="D646" s="22"/>
      <c r="E646" s="20"/>
      <c r="F646" s="20"/>
    </row>
    <row r="647" ht="22.5" customHeight="1">
      <c r="A647" s="20"/>
      <c r="B647" s="20"/>
      <c r="C647" s="20"/>
      <c r="D647" s="22"/>
      <c r="E647" s="20"/>
      <c r="F647" s="20"/>
    </row>
    <row r="648" ht="22.5" customHeight="1">
      <c r="A648" s="20"/>
      <c r="B648" s="20"/>
      <c r="C648" s="20"/>
      <c r="D648" s="22"/>
      <c r="E648" s="20"/>
      <c r="F648" s="20"/>
    </row>
    <row r="649" ht="22.5" customHeight="1">
      <c r="A649" s="20"/>
      <c r="B649" s="20"/>
      <c r="C649" s="20"/>
      <c r="D649" s="22"/>
      <c r="E649" s="20"/>
      <c r="F649" s="20"/>
    </row>
    <row r="650" ht="22.5" customHeight="1">
      <c r="A650" s="20"/>
      <c r="B650" s="20"/>
      <c r="C650" s="20"/>
      <c r="D650" s="22"/>
      <c r="E650" s="20"/>
      <c r="F650" s="20"/>
    </row>
    <row r="651" ht="22.5" customHeight="1">
      <c r="A651" s="20"/>
      <c r="B651" s="20"/>
      <c r="C651" s="20"/>
      <c r="D651" s="22"/>
      <c r="E651" s="20"/>
      <c r="F651" s="20"/>
    </row>
    <row r="652" ht="22.5" customHeight="1">
      <c r="A652" s="20"/>
      <c r="B652" s="20"/>
      <c r="C652" s="20"/>
      <c r="D652" s="22"/>
      <c r="E652" s="20"/>
      <c r="F652" s="20"/>
    </row>
    <row r="653" ht="22.5" customHeight="1">
      <c r="A653" s="20"/>
      <c r="B653" s="20"/>
      <c r="C653" s="20"/>
      <c r="D653" s="22"/>
      <c r="E653" s="20"/>
      <c r="F653" s="20"/>
    </row>
    <row r="654" ht="22.5" customHeight="1">
      <c r="A654" s="20"/>
      <c r="B654" s="20"/>
      <c r="C654" s="20"/>
      <c r="D654" s="22"/>
      <c r="E654" s="20"/>
      <c r="F654" s="20"/>
    </row>
    <row r="655" ht="22.5" customHeight="1">
      <c r="A655" s="20"/>
      <c r="B655" s="20"/>
      <c r="C655" s="20"/>
      <c r="D655" s="22"/>
      <c r="E655" s="20"/>
      <c r="F655" s="20"/>
    </row>
    <row r="656" ht="22.5" customHeight="1">
      <c r="A656" s="20"/>
      <c r="B656" s="20"/>
      <c r="C656" s="20"/>
      <c r="D656" s="22"/>
      <c r="E656" s="20"/>
      <c r="F656" s="20"/>
    </row>
    <row r="657" ht="22.5" customHeight="1">
      <c r="A657" s="20"/>
      <c r="B657" s="20"/>
      <c r="C657" s="20"/>
      <c r="D657" s="22"/>
      <c r="E657" s="20"/>
      <c r="F657" s="20"/>
    </row>
    <row r="658" ht="22.5" customHeight="1">
      <c r="A658" s="20"/>
      <c r="B658" s="20"/>
      <c r="C658" s="20"/>
      <c r="D658" s="22"/>
      <c r="E658" s="20"/>
      <c r="F658" s="20"/>
    </row>
    <row r="659" ht="22.5" customHeight="1">
      <c r="A659" s="20"/>
      <c r="B659" s="20"/>
      <c r="C659" s="20"/>
      <c r="D659" s="22"/>
      <c r="E659" s="20"/>
      <c r="F659" s="20"/>
    </row>
    <row r="660" ht="22.5" customHeight="1">
      <c r="A660" s="20"/>
      <c r="B660" s="20"/>
      <c r="C660" s="20"/>
      <c r="D660" s="22"/>
      <c r="E660" s="20"/>
      <c r="F660" s="20"/>
    </row>
    <row r="661" ht="22.5" customHeight="1">
      <c r="A661" s="20"/>
      <c r="B661" s="20"/>
      <c r="C661" s="20"/>
      <c r="D661" s="22"/>
      <c r="E661" s="20"/>
      <c r="F661" s="20"/>
    </row>
    <row r="662" ht="22.5" customHeight="1">
      <c r="A662" s="20"/>
      <c r="B662" s="20"/>
      <c r="C662" s="20"/>
      <c r="D662" s="22"/>
      <c r="E662" s="20"/>
      <c r="F662" s="20"/>
    </row>
    <row r="663" ht="22.5" customHeight="1">
      <c r="A663" s="20"/>
      <c r="B663" s="20"/>
      <c r="C663" s="20"/>
      <c r="D663" s="22"/>
      <c r="E663" s="20"/>
      <c r="F663" s="20"/>
    </row>
    <row r="664" ht="22.5" customHeight="1">
      <c r="A664" s="20"/>
      <c r="B664" s="20"/>
      <c r="C664" s="20"/>
      <c r="D664" s="22"/>
      <c r="E664" s="20"/>
      <c r="F664" s="20"/>
    </row>
    <row r="665" ht="22.5" customHeight="1">
      <c r="A665" s="20"/>
      <c r="B665" s="20"/>
      <c r="C665" s="20"/>
      <c r="D665" s="22"/>
      <c r="E665" s="20"/>
      <c r="F665" s="20"/>
    </row>
    <row r="666" ht="22.5" customHeight="1">
      <c r="A666" s="20"/>
      <c r="B666" s="20"/>
      <c r="C666" s="20"/>
      <c r="D666" s="22"/>
      <c r="E666" s="20"/>
      <c r="F666" s="20"/>
    </row>
    <row r="667" ht="22.5" customHeight="1">
      <c r="A667" s="20"/>
      <c r="B667" s="20"/>
      <c r="C667" s="20"/>
      <c r="D667" s="22"/>
      <c r="E667" s="20"/>
      <c r="F667" s="20"/>
    </row>
    <row r="668" ht="22.5" customHeight="1">
      <c r="A668" s="20"/>
      <c r="B668" s="20"/>
      <c r="C668" s="20"/>
      <c r="D668" s="22"/>
      <c r="E668" s="20"/>
      <c r="F668" s="20"/>
    </row>
    <row r="669" ht="22.5" customHeight="1">
      <c r="A669" s="20"/>
      <c r="B669" s="20"/>
      <c r="C669" s="20"/>
      <c r="D669" s="22"/>
      <c r="E669" s="20"/>
      <c r="F669" s="20"/>
    </row>
    <row r="670" ht="22.5" customHeight="1">
      <c r="A670" s="20"/>
      <c r="B670" s="20"/>
      <c r="C670" s="20"/>
      <c r="D670" s="22"/>
      <c r="E670" s="20"/>
      <c r="F670" s="20"/>
    </row>
    <row r="671" ht="22.5" customHeight="1">
      <c r="A671" s="20"/>
      <c r="B671" s="20"/>
      <c r="C671" s="20"/>
      <c r="D671" s="22"/>
      <c r="E671" s="20"/>
      <c r="F671" s="20"/>
    </row>
    <row r="672" ht="22.5" customHeight="1">
      <c r="A672" s="20"/>
      <c r="B672" s="20"/>
      <c r="C672" s="20"/>
      <c r="D672" s="22"/>
      <c r="E672" s="20"/>
      <c r="F672" s="20"/>
    </row>
    <row r="673" ht="22.5" customHeight="1">
      <c r="A673" s="20"/>
      <c r="B673" s="20"/>
      <c r="C673" s="20"/>
      <c r="D673" s="22"/>
      <c r="E673" s="20"/>
      <c r="F673" s="20"/>
    </row>
    <row r="674" ht="22.5" customHeight="1">
      <c r="A674" s="20"/>
      <c r="B674" s="20"/>
      <c r="C674" s="20"/>
      <c r="D674" s="22"/>
      <c r="E674" s="20"/>
      <c r="F674" s="20"/>
    </row>
    <row r="675" ht="22.5" customHeight="1">
      <c r="A675" s="20"/>
      <c r="B675" s="20"/>
      <c r="C675" s="20"/>
      <c r="D675" s="22"/>
      <c r="E675" s="20"/>
      <c r="F675" s="20"/>
    </row>
    <row r="676" ht="22.5" customHeight="1">
      <c r="A676" s="20"/>
      <c r="B676" s="20"/>
      <c r="C676" s="20"/>
      <c r="D676" s="22"/>
      <c r="E676" s="20"/>
      <c r="F676" s="20"/>
    </row>
    <row r="677" ht="22.5" customHeight="1">
      <c r="A677" s="20"/>
      <c r="B677" s="20"/>
      <c r="C677" s="20"/>
      <c r="D677" s="22"/>
      <c r="E677" s="20"/>
      <c r="F677" s="20"/>
    </row>
    <row r="678" ht="22.5" customHeight="1">
      <c r="A678" s="20"/>
      <c r="B678" s="20"/>
      <c r="C678" s="20"/>
      <c r="D678" s="22"/>
      <c r="E678" s="20"/>
      <c r="F678" s="20"/>
    </row>
    <row r="679" ht="22.5" customHeight="1">
      <c r="A679" s="20"/>
      <c r="B679" s="20"/>
      <c r="C679" s="20"/>
      <c r="D679" s="22"/>
      <c r="E679" s="20"/>
      <c r="F679" s="20"/>
    </row>
    <row r="680" ht="22.5" customHeight="1">
      <c r="A680" s="20"/>
      <c r="B680" s="20"/>
      <c r="C680" s="20"/>
      <c r="D680" s="22"/>
      <c r="E680" s="20"/>
      <c r="F680" s="20"/>
    </row>
    <row r="681" ht="22.5" customHeight="1">
      <c r="A681" s="20"/>
      <c r="B681" s="20"/>
      <c r="C681" s="20"/>
      <c r="D681" s="22"/>
      <c r="E681" s="20"/>
      <c r="F681" s="20"/>
    </row>
    <row r="682" ht="22.5" customHeight="1">
      <c r="A682" s="20"/>
      <c r="B682" s="20"/>
      <c r="C682" s="20"/>
      <c r="D682" s="22"/>
      <c r="E682" s="20"/>
      <c r="F682" s="20"/>
    </row>
    <row r="683" ht="22.5" customHeight="1">
      <c r="A683" s="20"/>
      <c r="B683" s="20"/>
      <c r="C683" s="20"/>
      <c r="D683" s="22"/>
      <c r="E683" s="20"/>
      <c r="F683" s="20"/>
    </row>
    <row r="684" ht="22.5" customHeight="1">
      <c r="A684" s="20"/>
      <c r="B684" s="20"/>
      <c r="C684" s="20"/>
      <c r="D684" s="22"/>
      <c r="E684" s="20"/>
      <c r="F684" s="20"/>
    </row>
    <row r="685" ht="22.5" customHeight="1">
      <c r="A685" s="20"/>
      <c r="B685" s="20"/>
      <c r="C685" s="20"/>
      <c r="D685" s="22"/>
      <c r="E685" s="20"/>
      <c r="F685" s="20"/>
    </row>
    <row r="686" ht="22.5" customHeight="1">
      <c r="A686" s="20"/>
      <c r="B686" s="20"/>
      <c r="C686" s="20"/>
      <c r="D686" s="22"/>
      <c r="E686" s="20"/>
      <c r="F686" s="20"/>
    </row>
    <row r="687" ht="22.5" customHeight="1">
      <c r="A687" s="20"/>
      <c r="B687" s="20"/>
      <c r="C687" s="20"/>
      <c r="D687" s="22"/>
      <c r="E687" s="20"/>
      <c r="F687" s="20"/>
    </row>
    <row r="688" ht="22.5" customHeight="1">
      <c r="A688" s="20"/>
      <c r="B688" s="20"/>
      <c r="C688" s="20"/>
      <c r="D688" s="22"/>
      <c r="E688" s="20"/>
      <c r="F688" s="20"/>
    </row>
    <row r="689" ht="22.5" customHeight="1">
      <c r="A689" s="20"/>
      <c r="B689" s="20"/>
      <c r="C689" s="20"/>
      <c r="D689" s="22"/>
      <c r="E689" s="20"/>
      <c r="F689" s="20"/>
    </row>
    <row r="690" ht="22.5" customHeight="1">
      <c r="A690" s="20"/>
      <c r="B690" s="20"/>
      <c r="C690" s="20"/>
      <c r="D690" s="22"/>
      <c r="E690" s="20"/>
      <c r="F690" s="20"/>
    </row>
    <row r="691" ht="22.5" customHeight="1">
      <c r="A691" s="20"/>
      <c r="B691" s="20"/>
      <c r="C691" s="20"/>
      <c r="D691" s="22"/>
      <c r="E691" s="20"/>
      <c r="F691" s="20"/>
    </row>
    <row r="692" ht="22.5" customHeight="1">
      <c r="A692" s="20"/>
      <c r="B692" s="20"/>
      <c r="C692" s="20"/>
      <c r="D692" s="22"/>
      <c r="E692" s="20"/>
      <c r="F692" s="20"/>
    </row>
    <row r="693" ht="22.5" customHeight="1">
      <c r="A693" s="20"/>
      <c r="B693" s="20"/>
      <c r="C693" s="20"/>
      <c r="D693" s="22"/>
      <c r="E693" s="20"/>
      <c r="F693" s="20"/>
    </row>
    <row r="694" ht="22.5" customHeight="1">
      <c r="A694" s="20"/>
      <c r="B694" s="20"/>
      <c r="C694" s="20"/>
      <c r="D694" s="22"/>
      <c r="E694" s="20"/>
      <c r="F694" s="20"/>
    </row>
    <row r="695" ht="22.5" customHeight="1">
      <c r="A695" s="20"/>
      <c r="B695" s="20"/>
      <c r="C695" s="20"/>
      <c r="D695" s="22"/>
      <c r="E695" s="20"/>
      <c r="F695" s="20"/>
    </row>
    <row r="696" ht="22.5" customHeight="1">
      <c r="A696" s="20"/>
      <c r="B696" s="20"/>
      <c r="C696" s="20"/>
      <c r="D696" s="22"/>
      <c r="E696" s="20"/>
      <c r="F696" s="20"/>
    </row>
    <row r="697" ht="22.5" customHeight="1">
      <c r="A697" s="20"/>
      <c r="B697" s="20"/>
      <c r="C697" s="20"/>
      <c r="D697" s="22"/>
      <c r="E697" s="20"/>
      <c r="F697" s="20"/>
    </row>
    <row r="698" ht="22.5" customHeight="1">
      <c r="A698" s="20"/>
      <c r="B698" s="20"/>
      <c r="C698" s="20"/>
      <c r="D698" s="22"/>
      <c r="E698" s="20"/>
      <c r="F698" s="20"/>
    </row>
    <row r="699" ht="22.5" customHeight="1">
      <c r="A699" s="20"/>
      <c r="B699" s="20"/>
      <c r="C699" s="20"/>
      <c r="D699" s="22"/>
      <c r="E699" s="20"/>
      <c r="F699" s="20"/>
    </row>
    <row r="700" ht="22.5" customHeight="1">
      <c r="A700" s="20"/>
      <c r="B700" s="20"/>
      <c r="C700" s="20"/>
      <c r="D700" s="22"/>
      <c r="E700" s="20"/>
      <c r="F700" s="20"/>
    </row>
    <row r="701" ht="22.5" customHeight="1">
      <c r="A701" s="20"/>
      <c r="B701" s="20"/>
      <c r="C701" s="20"/>
      <c r="D701" s="22"/>
      <c r="E701" s="20"/>
      <c r="F701" s="20"/>
    </row>
    <row r="702" ht="22.5" customHeight="1">
      <c r="A702" s="20"/>
      <c r="B702" s="20"/>
      <c r="C702" s="20"/>
      <c r="D702" s="22"/>
      <c r="E702" s="20"/>
      <c r="F702" s="20"/>
    </row>
    <row r="703" ht="22.5" customHeight="1">
      <c r="A703" s="20"/>
      <c r="B703" s="20"/>
      <c r="C703" s="20"/>
      <c r="D703" s="22"/>
      <c r="E703" s="20"/>
      <c r="F703" s="20"/>
    </row>
    <row r="704" ht="22.5" customHeight="1">
      <c r="A704" s="20"/>
      <c r="B704" s="20"/>
      <c r="C704" s="20"/>
      <c r="D704" s="22"/>
      <c r="E704" s="20"/>
      <c r="F704" s="20"/>
    </row>
    <row r="705" ht="22.5" customHeight="1">
      <c r="A705" s="20"/>
      <c r="B705" s="20"/>
      <c r="C705" s="20"/>
      <c r="D705" s="22"/>
      <c r="E705" s="20"/>
      <c r="F705" s="20"/>
    </row>
    <row r="706" ht="22.5" customHeight="1">
      <c r="A706" s="20"/>
      <c r="B706" s="20"/>
      <c r="C706" s="20"/>
      <c r="D706" s="22"/>
      <c r="E706" s="20"/>
      <c r="F706" s="20"/>
    </row>
    <row r="707" ht="22.5" customHeight="1">
      <c r="A707" s="20"/>
      <c r="B707" s="20"/>
      <c r="C707" s="20"/>
      <c r="D707" s="22"/>
      <c r="E707" s="20"/>
      <c r="F707" s="20"/>
    </row>
    <row r="708" ht="22.5" customHeight="1">
      <c r="A708" s="20"/>
      <c r="B708" s="20"/>
      <c r="C708" s="20"/>
      <c r="D708" s="22"/>
      <c r="E708" s="20"/>
      <c r="F708" s="20"/>
    </row>
    <row r="709" ht="22.5" customHeight="1">
      <c r="A709" s="20"/>
      <c r="B709" s="20"/>
      <c r="C709" s="20"/>
      <c r="D709" s="22"/>
      <c r="E709" s="20"/>
      <c r="F709" s="20"/>
    </row>
    <row r="710" ht="22.5" customHeight="1">
      <c r="A710" s="20"/>
      <c r="B710" s="20"/>
      <c r="C710" s="20"/>
      <c r="D710" s="22"/>
      <c r="E710" s="20"/>
      <c r="F710" s="20"/>
    </row>
    <row r="711" ht="22.5" customHeight="1">
      <c r="A711" s="20"/>
      <c r="B711" s="20"/>
      <c r="C711" s="20"/>
      <c r="D711" s="22"/>
      <c r="E711" s="20"/>
      <c r="F711" s="20"/>
    </row>
    <row r="712" ht="22.5" customHeight="1">
      <c r="A712" s="20"/>
      <c r="B712" s="20"/>
      <c r="C712" s="20"/>
      <c r="D712" s="22"/>
      <c r="E712" s="20"/>
      <c r="F712" s="20"/>
    </row>
    <row r="713" ht="22.5" customHeight="1">
      <c r="A713" s="20"/>
      <c r="B713" s="20"/>
      <c r="C713" s="20"/>
      <c r="D713" s="22"/>
      <c r="E713" s="20"/>
      <c r="F713" s="20"/>
    </row>
    <row r="714" ht="22.5" customHeight="1">
      <c r="A714" s="20"/>
      <c r="B714" s="20"/>
      <c r="C714" s="20"/>
      <c r="D714" s="22"/>
      <c r="E714" s="20"/>
      <c r="F714" s="20"/>
    </row>
    <row r="715" ht="22.5" customHeight="1">
      <c r="A715" s="20"/>
      <c r="B715" s="20"/>
      <c r="C715" s="20"/>
      <c r="D715" s="22"/>
      <c r="E715" s="20"/>
      <c r="F715" s="20"/>
    </row>
    <row r="716" ht="22.5" customHeight="1">
      <c r="A716" s="20"/>
      <c r="B716" s="20"/>
      <c r="C716" s="20"/>
      <c r="D716" s="22"/>
      <c r="E716" s="20"/>
      <c r="F716" s="20"/>
    </row>
    <row r="717" ht="22.5" customHeight="1">
      <c r="A717" s="20"/>
      <c r="B717" s="20"/>
      <c r="C717" s="20"/>
      <c r="D717" s="22"/>
      <c r="E717" s="20"/>
      <c r="F717" s="20"/>
    </row>
    <row r="718" ht="22.5" customHeight="1">
      <c r="A718" s="20"/>
      <c r="B718" s="20"/>
      <c r="C718" s="20"/>
      <c r="D718" s="22"/>
      <c r="E718" s="20"/>
      <c r="F718" s="20"/>
    </row>
    <row r="719" ht="22.5" customHeight="1">
      <c r="A719" s="20"/>
      <c r="B719" s="20"/>
      <c r="C719" s="20"/>
      <c r="D719" s="22"/>
      <c r="E719" s="20"/>
      <c r="F719" s="20"/>
    </row>
    <row r="720" ht="22.5" customHeight="1">
      <c r="A720" s="20"/>
      <c r="B720" s="20"/>
      <c r="C720" s="20"/>
      <c r="D720" s="22"/>
      <c r="E720" s="20"/>
      <c r="F720" s="20"/>
    </row>
    <row r="721" ht="22.5" customHeight="1">
      <c r="A721" s="20"/>
      <c r="B721" s="20"/>
      <c r="C721" s="20"/>
      <c r="D721" s="22"/>
      <c r="E721" s="20"/>
      <c r="F721" s="20"/>
    </row>
    <row r="722" ht="22.5" customHeight="1">
      <c r="A722" s="20"/>
      <c r="B722" s="20"/>
      <c r="C722" s="20"/>
      <c r="D722" s="22"/>
      <c r="E722" s="20"/>
      <c r="F722" s="20"/>
    </row>
    <row r="723" ht="22.5" customHeight="1">
      <c r="A723" s="20"/>
      <c r="B723" s="20"/>
      <c r="C723" s="20"/>
      <c r="D723" s="22"/>
      <c r="E723" s="20"/>
      <c r="F723" s="20"/>
    </row>
    <row r="724" ht="22.5" customHeight="1">
      <c r="A724" s="20"/>
      <c r="B724" s="20"/>
      <c r="C724" s="20"/>
      <c r="D724" s="22"/>
      <c r="E724" s="20"/>
      <c r="F724" s="20"/>
    </row>
    <row r="725" ht="22.5" customHeight="1">
      <c r="A725" s="20"/>
      <c r="B725" s="20"/>
      <c r="C725" s="20"/>
      <c r="D725" s="22"/>
      <c r="E725" s="20"/>
      <c r="F725" s="20"/>
    </row>
    <row r="726" ht="22.5" customHeight="1">
      <c r="A726" s="20"/>
      <c r="B726" s="20"/>
      <c r="C726" s="20"/>
      <c r="D726" s="22"/>
      <c r="E726" s="20"/>
      <c r="F726" s="20"/>
    </row>
    <row r="727" ht="22.5" customHeight="1">
      <c r="A727" s="20"/>
      <c r="B727" s="20"/>
      <c r="C727" s="20"/>
      <c r="D727" s="22"/>
      <c r="E727" s="20"/>
      <c r="F727" s="20"/>
    </row>
    <row r="728" ht="22.5" customHeight="1">
      <c r="A728" s="20"/>
      <c r="B728" s="20"/>
      <c r="C728" s="20"/>
      <c r="D728" s="22"/>
      <c r="E728" s="20"/>
      <c r="F728" s="20"/>
    </row>
    <row r="729" ht="22.5" customHeight="1">
      <c r="A729" s="20"/>
      <c r="B729" s="20"/>
      <c r="C729" s="20"/>
      <c r="D729" s="22"/>
      <c r="E729" s="20"/>
      <c r="F729" s="20"/>
    </row>
    <row r="730" ht="22.5" customHeight="1">
      <c r="A730" s="20"/>
      <c r="B730" s="20"/>
      <c r="C730" s="20"/>
      <c r="D730" s="22"/>
      <c r="E730" s="20"/>
      <c r="F730" s="20"/>
    </row>
    <row r="731" ht="22.5" customHeight="1">
      <c r="A731" s="20"/>
      <c r="B731" s="20"/>
      <c r="C731" s="20"/>
      <c r="D731" s="22"/>
      <c r="E731" s="20"/>
      <c r="F731" s="20"/>
    </row>
    <row r="732" ht="22.5" customHeight="1">
      <c r="A732" s="20"/>
      <c r="B732" s="20"/>
      <c r="C732" s="20"/>
      <c r="D732" s="22"/>
      <c r="E732" s="20"/>
      <c r="F732" s="20"/>
    </row>
    <row r="733" ht="22.5" customHeight="1">
      <c r="A733" s="20"/>
      <c r="B733" s="20"/>
      <c r="C733" s="20"/>
      <c r="D733" s="22"/>
      <c r="E733" s="20"/>
      <c r="F733" s="20"/>
    </row>
    <row r="734" ht="22.5" customHeight="1">
      <c r="A734" s="20"/>
      <c r="B734" s="20"/>
      <c r="C734" s="20"/>
      <c r="D734" s="22"/>
      <c r="E734" s="20"/>
      <c r="F734" s="20"/>
    </row>
    <row r="735" ht="22.5" customHeight="1">
      <c r="A735" s="20"/>
      <c r="B735" s="20"/>
      <c r="C735" s="20"/>
      <c r="D735" s="22"/>
      <c r="E735" s="20"/>
      <c r="F735" s="20"/>
    </row>
    <row r="736" ht="22.5" customHeight="1">
      <c r="A736" s="20"/>
      <c r="B736" s="20"/>
      <c r="C736" s="20"/>
      <c r="D736" s="22"/>
      <c r="E736" s="20"/>
      <c r="F736" s="20"/>
    </row>
    <row r="737" ht="22.5" customHeight="1">
      <c r="A737" s="20"/>
      <c r="B737" s="20"/>
      <c r="C737" s="20"/>
      <c r="D737" s="22"/>
      <c r="E737" s="20"/>
      <c r="F737" s="20"/>
    </row>
    <row r="738" ht="22.5" customHeight="1">
      <c r="A738" s="20"/>
      <c r="B738" s="20"/>
      <c r="C738" s="20"/>
      <c r="D738" s="22"/>
      <c r="E738" s="20"/>
      <c r="F738" s="20"/>
    </row>
    <row r="739" ht="22.5" customHeight="1">
      <c r="A739" s="20"/>
      <c r="B739" s="20"/>
      <c r="C739" s="20"/>
      <c r="D739" s="22"/>
      <c r="E739" s="20"/>
      <c r="F739" s="20"/>
    </row>
    <row r="740" ht="22.5" customHeight="1">
      <c r="A740" s="20"/>
      <c r="B740" s="20"/>
      <c r="C740" s="20"/>
      <c r="D740" s="22"/>
      <c r="E740" s="20"/>
      <c r="F740" s="20"/>
    </row>
    <row r="741" ht="22.5" customHeight="1">
      <c r="A741" s="20"/>
      <c r="B741" s="20"/>
      <c r="C741" s="20"/>
      <c r="D741" s="22"/>
      <c r="E741" s="20"/>
      <c r="F741" s="20"/>
    </row>
    <row r="742" ht="22.5" customHeight="1">
      <c r="A742" s="20"/>
      <c r="B742" s="20"/>
      <c r="C742" s="20"/>
      <c r="D742" s="22"/>
      <c r="E742" s="20"/>
      <c r="F742" s="20"/>
    </row>
    <row r="743" ht="22.5" customHeight="1">
      <c r="A743" s="20"/>
      <c r="B743" s="20"/>
      <c r="C743" s="20"/>
      <c r="D743" s="22"/>
      <c r="E743" s="20"/>
      <c r="F743" s="20"/>
    </row>
    <row r="744" ht="22.5" customHeight="1">
      <c r="A744" s="20"/>
      <c r="B744" s="20"/>
      <c r="C744" s="20"/>
      <c r="D744" s="22"/>
      <c r="E744" s="20"/>
      <c r="F744" s="20"/>
    </row>
    <row r="745" ht="22.5" customHeight="1">
      <c r="A745" s="20"/>
      <c r="B745" s="20"/>
      <c r="C745" s="20"/>
      <c r="D745" s="22"/>
      <c r="E745" s="20"/>
      <c r="F745" s="20"/>
    </row>
    <row r="746" ht="22.5" customHeight="1">
      <c r="A746" s="20"/>
      <c r="B746" s="20"/>
      <c r="C746" s="20"/>
      <c r="D746" s="22"/>
      <c r="E746" s="20"/>
      <c r="F746" s="20"/>
    </row>
    <row r="747" ht="22.5" customHeight="1">
      <c r="A747" s="20"/>
      <c r="B747" s="20"/>
      <c r="C747" s="20"/>
      <c r="D747" s="22"/>
      <c r="E747" s="20"/>
      <c r="F747" s="20"/>
    </row>
    <row r="748" ht="22.5" customHeight="1">
      <c r="A748" s="20"/>
      <c r="B748" s="20"/>
      <c r="C748" s="20"/>
      <c r="D748" s="22"/>
      <c r="E748" s="20"/>
      <c r="F748" s="20"/>
    </row>
    <row r="749" ht="22.5" customHeight="1">
      <c r="A749" s="20"/>
      <c r="B749" s="20"/>
      <c r="C749" s="20"/>
      <c r="D749" s="22"/>
      <c r="E749" s="20"/>
      <c r="F749" s="20"/>
    </row>
    <row r="750" ht="22.5" customHeight="1">
      <c r="A750" s="20"/>
      <c r="B750" s="20"/>
      <c r="C750" s="20"/>
      <c r="D750" s="22"/>
      <c r="E750" s="20"/>
      <c r="F750" s="20"/>
    </row>
    <row r="751" ht="22.5" customHeight="1">
      <c r="A751" s="20"/>
      <c r="B751" s="20"/>
      <c r="C751" s="20"/>
      <c r="D751" s="22"/>
      <c r="E751" s="20"/>
      <c r="F751" s="20"/>
    </row>
    <row r="752" ht="22.5" customHeight="1">
      <c r="A752" s="20"/>
      <c r="B752" s="20"/>
      <c r="C752" s="20"/>
      <c r="D752" s="22"/>
      <c r="E752" s="20"/>
      <c r="F752" s="20"/>
    </row>
    <row r="753" ht="22.5" customHeight="1">
      <c r="A753" s="20"/>
      <c r="B753" s="20"/>
      <c r="C753" s="20"/>
      <c r="D753" s="22"/>
      <c r="E753" s="20"/>
      <c r="F753" s="20"/>
    </row>
    <row r="754" ht="22.5" customHeight="1">
      <c r="A754" s="20"/>
      <c r="B754" s="20"/>
      <c r="C754" s="20"/>
      <c r="D754" s="22"/>
      <c r="E754" s="20"/>
      <c r="F754" s="20"/>
    </row>
    <row r="755" ht="22.5" customHeight="1">
      <c r="A755" s="20"/>
      <c r="B755" s="20"/>
      <c r="C755" s="20"/>
      <c r="D755" s="22"/>
      <c r="E755" s="20"/>
      <c r="F755" s="20"/>
    </row>
    <row r="756" ht="22.5" customHeight="1">
      <c r="A756" s="20"/>
      <c r="B756" s="20"/>
      <c r="C756" s="20"/>
      <c r="D756" s="22"/>
      <c r="E756" s="20"/>
      <c r="F756" s="20"/>
    </row>
    <row r="757" ht="22.5" customHeight="1">
      <c r="A757" s="20"/>
      <c r="B757" s="20"/>
      <c r="C757" s="20"/>
      <c r="D757" s="22"/>
      <c r="E757" s="20"/>
      <c r="F757" s="20"/>
    </row>
    <row r="758" ht="22.5" customHeight="1">
      <c r="A758" s="20"/>
      <c r="B758" s="20"/>
      <c r="C758" s="20"/>
      <c r="D758" s="22"/>
      <c r="E758" s="20"/>
      <c r="F758" s="20"/>
    </row>
    <row r="759" ht="22.5" customHeight="1">
      <c r="A759" s="20"/>
      <c r="B759" s="20"/>
      <c r="C759" s="20"/>
      <c r="D759" s="22"/>
      <c r="E759" s="20"/>
      <c r="F759" s="20"/>
    </row>
    <row r="760" ht="22.5" customHeight="1">
      <c r="A760" s="20"/>
      <c r="B760" s="20"/>
      <c r="C760" s="20"/>
      <c r="D760" s="22"/>
      <c r="E760" s="20"/>
      <c r="F760" s="20"/>
    </row>
    <row r="761" ht="22.5" customHeight="1">
      <c r="A761" s="20"/>
      <c r="B761" s="20"/>
      <c r="C761" s="20"/>
      <c r="D761" s="22"/>
      <c r="E761" s="20"/>
      <c r="F761" s="20"/>
    </row>
    <row r="762" ht="22.5" customHeight="1">
      <c r="A762" s="20"/>
      <c r="B762" s="20"/>
      <c r="C762" s="20"/>
      <c r="D762" s="22"/>
      <c r="E762" s="20"/>
      <c r="F762" s="20"/>
    </row>
    <row r="763" ht="22.5" customHeight="1">
      <c r="A763" s="20"/>
      <c r="B763" s="20"/>
      <c r="C763" s="20"/>
      <c r="D763" s="22"/>
      <c r="E763" s="20"/>
      <c r="F763" s="20"/>
    </row>
    <row r="764" ht="22.5" customHeight="1">
      <c r="A764" s="20"/>
      <c r="B764" s="20"/>
      <c r="C764" s="20"/>
      <c r="D764" s="22"/>
      <c r="E764" s="20"/>
      <c r="F764" s="20"/>
    </row>
    <row r="765" ht="22.5" customHeight="1">
      <c r="A765" s="20"/>
      <c r="B765" s="20"/>
      <c r="C765" s="20"/>
      <c r="D765" s="22"/>
      <c r="E765" s="20"/>
      <c r="F765" s="20"/>
    </row>
    <row r="766" ht="22.5" customHeight="1">
      <c r="A766" s="20"/>
      <c r="B766" s="20"/>
      <c r="C766" s="20"/>
      <c r="D766" s="22"/>
      <c r="E766" s="20"/>
      <c r="F766" s="20"/>
    </row>
    <row r="767" ht="22.5" customHeight="1">
      <c r="A767" s="20"/>
      <c r="B767" s="20"/>
      <c r="C767" s="20"/>
      <c r="D767" s="22"/>
      <c r="E767" s="20"/>
      <c r="F767" s="20"/>
    </row>
    <row r="768" ht="22.5" customHeight="1">
      <c r="A768" s="20"/>
      <c r="B768" s="20"/>
      <c r="C768" s="20"/>
      <c r="D768" s="22"/>
      <c r="E768" s="20"/>
      <c r="F768" s="20"/>
    </row>
    <row r="769" ht="22.5" customHeight="1">
      <c r="A769" s="20"/>
      <c r="B769" s="20"/>
      <c r="C769" s="20"/>
      <c r="D769" s="22"/>
      <c r="E769" s="20"/>
      <c r="F769" s="20"/>
    </row>
    <row r="770" ht="22.5" customHeight="1">
      <c r="A770" s="20"/>
      <c r="B770" s="20"/>
      <c r="C770" s="20"/>
      <c r="D770" s="22"/>
      <c r="E770" s="20"/>
      <c r="F770" s="20"/>
    </row>
    <row r="771" ht="22.5" customHeight="1">
      <c r="A771" s="20"/>
      <c r="B771" s="20"/>
      <c r="C771" s="20"/>
      <c r="D771" s="22"/>
      <c r="E771" s="20"/>
      <c r="F771" s="20"/>
    </row>
    <row r="772" ht="22.5" customHeight="1">
      <c r="A772" s="20"/>
      <c r="B772" s="20"/>
      <c r="C772" s="20"/>
      <c r="D772" s="22"/>
      <c r="E772" s="20"/>
      <c r="F772" s="20"/>
    </row>
    <row r="773" ht="22.5" customHeight="1">
      <c r="A773" s="20"/>
      <c r="B773" s="20"/>
      <c r="C773" s="20"/>
      <c r="D773" s="22"/>
      <c r="E773" s="20"/>
      <c r="F773" s="20"/>
    </row>
    <row r="774" ht="22.5" customHeight="1">
      <c r="A774" s="20"/>
      <c r="B774" s="20"/>
      <c r="C774" s="20"/>
      <c r="D774" s="22"/>
      <c r="E774" s="20"/>
      <c r="F774" s="20"/>
    </row>
    <row r="775" ht="22.5" customHeight="1">
      <c r="A775" s="20"/>
      <c r="B775" s="20"/>
      <c r="C775" s="20"/>
      <c r="D775" s="22"/>
      <c r="E775" s="20"/>
      <c r="F775" s="20"/>
    </row>
    <row r="776" ht="22.5" customHeight="1">
      <c r="A776" s="20"/>
      <c r="B776" s="20"/>
      <c r="C776" s="20"/>
      <c r="D776" s="22"/>
      <c r="E776" s="20"/>
      <c r="F776" s="20"/>
    </row>
    <row r="777" ht="22.5" customHeight="1">
      <c r="A777" s="20"/>
      <c r="B777" s="20"/>
      <c r="C777" s="20"/>
      <c r="D777" s="22"/>
      <c r="E777" s="20"/>
      <c r="F777" s="20"/>
    </row>
    <row r="778" ht="22.5" customHeight="1">
      <c r="A778" s="20"/>
      <c r="B778" s="20"/>
      <c r="C778" s="20"/>
      <c r="D778" s="22"/>
      <c r="E778" s="20"/>
      <c r="F778" s="20"/>
    </row>
    <row r="779" ht="22.5" customHeight="1">
      <c r="A779" s="20"/>
      <c r="B779" s="20"/>
      <c r="C779" s="20"/>
      <c r="D779" s="22"/>
      <c r="E779" s="20"/>
      <c r="F779" s="20"/>
    </row>
    <row r="780" ht="22.5" customHeight="1">
      <c r="A780" s="20"/>
      <c r="B780" s="20"/>
      <c r="C780" s="20"/>
      <c r="D780" s="22"/>
      <c r="E780" s="20"/>
      <c r="F780" s="20"/>
    </row>
    <row r="781" ht="22.5" customHeight="1">
      <c r="A781" s="20"/>
      <c r="B781" s="20"/>
      <c r="C781" s="20"/>
      <c r="D781" s="22"/>
      <c r="E781" s="20"/>
      <c r="F781" s="20"/>
    </row>
    <row r="782" ht="22.5" customHeight="1">
      <c r="A782" s="20"/>
      <c r="B782" s="20"/>
      <c r="C782" s="20"/>
      <c r="D782" s="22"/>
      <c r="E782" s="20"/>
      <c r="F782" s="20"/>
    </row>
    <row r="783" ht="22.5" customHeight="1">
      <c r="A783" s="20"/>
      <c r="B783" s="20"/>
      <c r="C783" s="20"/>
      <c r="D783" s="22"/>
      <c r="E783" s="20"/>
      <c r="F783" s="20"/>
    </row>
    <row r="784" ht="22.5" customHeight="1">
      <c r="A784" s="20"/>
      <c r="B784" s="20"/>
      <c r="C784" s="20"/>
      <c r="D784" s="22"/>
      <c r="E784" s="20"/>
      <c r="F784" s="20"/>
    </row>
    <row r="785" ht="22.5" customHeight="1">
      <c r="A785" s="20"/>
      <c r="B785" s="20"/>
      <c r="C785" s="20"/>
      <c r="D785" s="22"/>
      <c r="E785" s="20"/>
      <c r="F785" s="20"/>
    </row>
    <row r="786" ht="22.5" customHeight="1">
      <c r="A786" s="20"/>
      <c r="B786" s="20"/>
      <c r="C786" s="20"/>
      <c r="D786" s="22"/>
      <c r="E786" s="20"/>
      <c r="F786" s="20"/>
    </row>
    <row r="787" ht="22.5" customHeight="1">
      <c r="A787" s="20"/>
      <c r="B787" s="20"/>
      <c r="C787" s="20"/>
      <c r="D787" s="22"/>
      <c r="E787" s="20"/>
      <c r="F787" s="20"/>
    </row>
    <row r="788" ht="22.5" customHeight="1">
      <c r="A788" s="20"/>
      <c r="B788" s="20"/>
      <c r="C788" s="20"/>
      <c r="D788" s="22"/>
      <c r="E788" s="20"/>
      <c r="F788" s="20"/>
    </row>
    <row r="789" ht="22.5" customHeight="1">
      <c r="A789" s="20"/>
      <c r="B789" s="20"/>
      <c r="C789" s="20"/>
      <c r="D789" s="22"/>
      <c r="E789" s="20"/>
      <c r="F789" s="20"/>
    </row>
    <row r="790" ht="22.5" customHeight="1">
      <c r="A790" s="20"/>
      <c r="B790" s="20"/>
      <c r="C790" s="20"/>
      <c r="D790" s="22"/>
      <c r="E790" s="20"/>
      <c r="F790" s="20"/>
    </row>
    <row r="791" ht="22.5" customHeight="1">
      <c r="A791" s="20"/>
      <c r="B791" s="20"/>
      <c r="C791" s="20"/>
      <c r="D791" s="22"/>
      <c r="E791" s="20"/>
      <c r="F791" s="20"/>
    </row>
    <row r="792" ht="22.5" customHeight="1">
      <c r="A792" s="20"/>
      <c r="B792" s="20"/>
      <c r="C792" s="20"/>
      <c r="D792" s="22"/>
      <c r="E792" s="20"/>
      <c r="F792" s="20"/>
    </row>
    <row r="793" ht="22.5" customHeight="1">
      <c r="A793" s="20"/>
      <c r="B793" s="20"/>
      <c r="C793" s="20"/>
      <c r="D793" s="22"/>
      <c r="E793" s="20"/>
      <c r="F793" s="20"/>
    </row>
    <row r="794" ht="22.5" customHeight="1">
      <c r="A794" s="20"/>
      <c r="B794" s="20"/>
      <c r="C794" s="20"/>
      <c r="D794" s="22"/>
      <c r="E794" s="20"/>
      <c r="F794" s="20"/>
    </row>
    <row r="795" ht="22.5" customHeight="1">
      <c r="A795" s="20"/>
      <c r="B795" s="20"/>
      <c r="C795" s="20"/>
      <c r="D795" s="22"/>
      <c r="E795" s="20"/>
      <c r="F795" s="20"/>
    </row>
    <row r="796" ht="22.5" customHeight="1">
      <c r="A796" s="20"/>
      <c r="B796" s="20"/>
      <c r="C796" s="20"/>
      <c r="D796" s="22"/>
      <c r="E796" s="20"/>
      <c r="F796" s="20"/>
    </row>
    <row r="797" ht="22.5" customHeight="1">
      <c r="A797" s="20"/>
      <c r="B797" s="20"/>
      <c r="C797" s="20"/>
      <c r="D797" s="22"/>
      <c r="E797" s="20"/>
      <c r="F797" s="20"/>
    </row>
    <row r="798" ht="22.5" customHeight="1">
      <c r="A798" s="20"/>
      <c r="B798" s="20"/>
      <c r="C798" s="20"/>
      <c r="D798" s="22"/>
      <c r="E798" s="20"/>
      <c r="F798" s="20"/>
    </row>
    <row r="799" ht="22.5" customHeight="1">
      <c r="A799" s="20"/>
      <c r="B799" s="20"/>
      <c r="C799" s="20"/>
      <c r="D799" s="22"/>
      <c r="E799" s="20"/>
      <c r="F799" s="20"/>
    </row>
    <row r="800" ht="22.5" customHeight="1">
      <c r="A800" s="20"/>
      <c r="B800" s="20"/>
      <c r="C800" s="20"/>
      <c r="D800" s="22"/>
      <c r="E800" s="20"/>
      <c r="F800" s="20"/>
    </row>
    <row r="801" ht="22.5" customHeight="1">
      <c r="A801" s="20"/>
      <c r="B801" s="20"/>
      <c r="C801" s="20"/>
      <c r="D801" s="22"/>
      <c r="E801" s="20"/>
      <c r="F801" s="20"/>
    </row>
    <row r="802" ht="22.5" customHeight="1">
      <c r="A802" s="20"/>
      <c r="B802" s="20"/>
      <c r="C802" s="20"/>
      <c r="D802" s="22"/>
      <c r="E802" s="20"/>
      <c r="F802" s="20"/>
    </row>
    <row r="803" ht="22.5" customHeight="1">
      <c r="A803" s="20"/>
      <c r="B803" s="20"/>
      <c r="C803" s="20"/>
      <c r="D803" s="22"/>
      <c r="E803" s="20"/>
      <c r="F803" s="20"/>
    </row>
    <row r="804" ht="22.5" customHeight="1">
      <c r="A804" s="20"/>
      <c r="B804" s="20"/>
      <c r="C804" s="20"/>
      <c r="D804" s="22"/>
      <c r="E804" s="20"/>
      <c r="F804" s="20"/>
    </row>
    <row r="805" ht="22.5" customHeight="1">
      <c r="A805" s="20"/>
      <c r="B805" s="20"/>
      <c r="C805" s="20"/>
      <c r="D805" s="22"/>
      <c r="E805" s="20"/>
      <c r="F805" s="20"/>
    </row>
    <row r="806" ht="22.5" customHeight="1">
      <c r="A806" s="20"/>
      <c r="B806" s="20"/>
      <c r="C806" s="20"/>
      <c r="D806" s="22"/>
      <c r="E806" s="20"/>
      <c r="F806" s="20"/>
    </row>
    <row r="807" ht="22.5" customHeight="1">
      <c r="A807" s="20"/>
      <c r="B807" s="20"/>
      <c r="C807" s="20"/>
      <c r="D807" s="22"/>
      <c r="E807" s="20"/>
      <c r="F807" s="20"/>
    </row>
    <row r="808" ht="22.5" customHeight="1">
      <c r="A808" s="20"/>
      <c r="B808" s="20"/>
      <c r="C808" s="20"/>
      <c r="D808" s="22"/>
      <c r="E808" s="20"/>
      <c r="F808" s="20"/>
    </row>
    <row r="809" ht="22.5" customHeight="1">
      <c r="A809" s="20"/>
      <c r="B809" s="20"/>
      <c r="C809" s="20"/>
      <c r="D809" s="22"/>
      <c r="E809" s="20"/>
      <c r="F809" s="20"/>
    </row>
    <row r="810" ht="22.5" customHeight="1">
      <c r="A810" s="20"/>
      <c r="B810" s="20"/>
      <c r="C810" s="20"/>
      <c r="D810" s="22"/>
      <c r="E810" s="20"/>
      <c r="F810" s="20"/>
    </row>
    <row r="811" ht="22.5" customHeight="1">
      <c r="A811" s="20"/>
      <c r="B811" s="20"/>
      <c r="C811" s="20"/>
      <c r="D811" s="22"/>
      <c r="E811" s="20"/>
      <c r="F811" s="20"/>
    </row>
    <row r="812" ht="22.5" customHeight="1">
      <c r="A812" s="20"/>
      <c r="B812" s="20"/>
      <c r="C812" s="20"/>
      <c r="D812" s="22"/>
      <c r="E812" s="20"/>
      <c r="F812" s="20"/>
    </row>
    <row r="813" ht="22.5" customHeight="1">
      <c r="A813" s="20"/>
      <c r="B813" s="20"/>
      <c r="C813" s="20"/>
      <c r="D813" s="22"/>
      <c r="E813" s="20"/>
      <c r="F813" s="20"/>
    </row>
    <row r="814" ht="22.5" customHeight="1">
      <c r="A814" s="20"/>
      <c r="B814" s="20"/>
      <c r="C814" s="20"/>
      <c r="D814" s="22"/>
      <c r="E814" s="20"/>
      <c r="F814" s="20"/>
    </row>
    <row r="815" ht="22.5" customHeight="1">
      <c r="A815" s="20"/>
      <c r="B815" s="20"/>
      <c r="C815" s="20"/>
      <c r="D815" s="22"/>
      <c r="E815" s="20"/>
      <c r="F815" s="20"/>
    </row>
    <row r="816" ht="22.5" customHeight="1">
      <c r="A816" s="20"/>
      <c r="B816" s="20"/>
      <c r="C816" s="20"/>
      <c r="D816" s="22"/>
      <c r="E816" s="20"/>
      <c r="F816" s="20"/>
    </row>
    <row r="817" ht="22.5" customHeight="1">
      <c r="A817" s="20"/>
      <c r="B817" s="20"/>
      <c r="C817" s="20"/>
      <c r="D817" s="22"/>
      <c r="E817" s="20"/>
      <c r="F817" s="20"/>
    </row>
    <row r="818" ht="22.5" customHeight="1">
      <c r="A818" s="20"/>
      <c r="B818" s="20"/>
      <c r="C818" s="20"/>
      <c r="D818" s="22"/>
      <c r="E818" s="20"/>
      <c r="F818" s="20"/>
    </row>
    <row r="819" ht="22.5" customHeight="1">
      <c r="A819" s="20"/>
      <c r="B819" s="20"/>
      <c r="C819" s="20"/>
      <c r="D819" s="22"/>
      <c r="E819" s="20"/>
      <c r="F819" s="20"/>
    </row>
    <row r="820" ht="22.5" customHeight="1">
      <c r="A820" s="20"/>
      <c r="B820" s="20"/>
      <c r="C820" s="20"/>
      <c r="D820" s="22"/>
      <c r="E820" s="20"/>
      <c r="F820" s="20"/>
    </row>
    <row r="821" ht="22.5" customHeight="1">
      <c r="A821" s="20"/>
      <c r="B821" s="20"/>
      <c r="C821" s="20"/>
      <c r="D821" s="22"/>
      <c r="E821" s="20"/>
      <c r="F821" s="20"/>
    </row>
    <row r="822" ht="22.5" customHeight="1">
      <c r="A822" s="20"/>
      <c r="B822" s="20"/>
      <c r="C822" s="20"/>
      <c r="D822" s="22"/>
      <c r="E822" s="20"/>
      <c r="F822" s="20"/>
    </row>
    <row r="823" ht="22.5" customHeight="1">
      <c r="A823" s="20"/>
      <c r="B823" s="20"/>
      <c r="C823" s="20"/>
      <c r="D823" s="22"/>
      <c r="E823" s="20"/>
      <c r="F823" s="20"/>
    </row>
    <row r="824" ht="22.5" customHeight="1">
      <c r="A824" s="20"/>
      <c r="B824" s="20"/>
      <c r="C824" s="20"/>
      <c r="D824" s="22"/>
      <c r="E824" s="20"/>
      <c r="F824" s="20"/>
    </row>
    <row r="825" ht="22.5" customHeight="1">
      <c r="A825" s="20"/>
      <c r="B825" s="20"/>
      <c r="C825" s="20"/>
      <c r="D825" s="22"/>
      <c r="E825" s="20"/>
      <c r="F825" s="20"/>
    </row>
    <row r="826" ht="22.5" customHeight="1">
      <c r="A826" s="20"/>
      <c r="B826" s="20"/>
      <c r="C826" s="20"/>
      <c r="D826" s="22"/>
      <c r="E826" s="20"/>
      <c r="F826" s="20"/>
    </row>
    <row r="827" ht="22.5" customHeight="1">
      <c r="A827" s="20"/>
      <c r="B827" s="20"/>
      <c r="C827" s="20"/>
      <c r="D827" s="22"/>
      <c r="E827" s="20"/>
      <c r="F827" s="20"/>
    </row>
    <row r="828" ht="22.5" customHeight="1">
      <c r="A828" s="20"/>
      <c r="B828" s="20"/>
      <c r="C828" s="20"/>
      <c r="D828" s="22"/>
      <c r="E828" s="20"/>
      <c r="F828" s="20"/>
    </row>
    <row r="829" ht="22.5" customHeight="1">
      <c r="A829" s="20"/>
      <c r="B829" s="20"/>
      <c r="C829" s="20"/>
      <c r="D829" s="22"/>
      <c r="E829" s="20"/>
      <c r="F829" s="20"/>
    </row>
    <row r="830" ht="22.5" customHeight="1">
      <c r="A830" s="20"/>
      <c r="B830" s="20"/>
      <c r="C830" s="20"/>
      <c r="D830" s="22"/>
      <c r="E830" s="20"/>
      <c r="F830" s="20"/>
    </row>
    <row r="831" ht="22.5" customHeight="1">
      <c r="A831" s="20"/>
      <c r="B831" s="20"/>
      <c r="C831" s="20"/>
      <c r="D831" s="22"/>
      <c r="E831" s="20"/>
      <c r="F831" s="20"/>
    </row>
    <row r="832" ht="22.5" customHeight="1">
      <c r="A832" s="20"/>
      <c r="B832" s="20"/>
      <c r="C832" s="20"/>
      <c r="D832" s="22"/>
      <c r="E832" s="20"/>
      <c r="F832" s="20"/>
    </row>
    <row r="833" ht="22.5" customHeight="1">
      <c r="A833" s="20"/>
      <c r="B833" s="20"/>
      <c r="C833" s="20"/>
      <c r="D833" s="22"/>
      <c r="E833" s="20"/>
      <c r="F833" s="20"/>
    </row>
    <row r="834" ht="22.5" customHeight="1">
      <c r="A834" s="20"/>
      <c r="B834" s="20"/>
      <c r="C834" s="20"/>
      <c r="D834" s="22"/>
      <c r="E834" s="20"/>
      <c r="F834" s="20"/>
    </row>
    <row r="835" ht="22.5" customHeight="1">
      <c r="A835" s="20"/>
      <c r="B835" s="20"/>
      <c r="C835" s="20"/>
      <c r="D835" s="22"/>
      <c r="E835" s="20"/>
      <c r="F835" s="20"/>
    </row>
    <row r="836" ht="22.5" customHeight="1">
      <c r="A836" s="20"/>
      <c r="B836" s="20"/>
      <c r="C836" s="20"/>
      <c r="D836" s="22"/>
      <c r="E836" s="20"/>
      <c r="F836" s="20"/>
    </row>
    <row r="837" ht="22.5" customHeight="1">
      <c r="A837" s="20"/>
      <c r="B837" s="20"/>
      <c r="C837" s="20"/>
      <c r="D837" s="22"/>
      <c r="E837" s="20"/>
      <c r="F837" s="20"/>
    </row>
    <row r="838" ht="22.5" customHeight="1">
      <c r="A838" s="20"/>
      <c r="B838" s="20"/>
      <c r="C838" s="20"/>
      <c r="D838" s="22"/>
      <c r="E838" s="20"/>
      <c r="F838" s="20"/>
    </row>
    <row r="839" ht="22.5" customHeight="1">
      <c r="A839" s="20"/>
      <c r="B839" s="20"/>
      <c r="C839" s="20"/>
      <c r="D839" s="22"/>
      <c r="E839" s="20"/>
      <c r="F839" s="20"/>
    </row>
    <row r="840" ht="22.5" customHeight="1">
      <c r="A840" s="20"/>
      <c r="B840" s="20"/>
      <c r="C840" s="20"/>
      <c r="D840" s="22"/>
      <c r="E840" s="20"/>
      <c r="F840" s="20"/>
    </row>
    <row r="841" ht="22.5" customHeight="1">
      <c r="A841" s="20"/>
      <c r="B841" s="20"/>
      <c r="C841" s="20"/>
      <c r="D841" s="22"/>
      <c r="E841" s="20"/>
      <c r="F841" s="20"/>
    </row>
    <row r="842" ht="22.5" customHeight="1">
      <c r="A842" s="20"/>
      <c r="B842" s="20"/>
      <c r="C842" s="20"/>
      <c r="D842" s="22"/>
      <c r="E842" s="20"/>
      <c r="F842" s="20"/>
    </row>
    <row r="843" ht="22.5" customHeight="1">
      <c r="A843" s="20"/>
      <c r="B843" s="20"/>
      <c r="C843" s="20"/>
      <c r="D843" s="22"/>
      <c r="E843" s="20"/>
      <c r="F843" s="20"/>
    </row>
    <row r="844" ht="22.5" customHeight="1">
      <c r="A844" s="20"/>
      <c r="B844" s="20"/>
      <c r="C844" s="20"/>
      <c r="D844" s="22"/>
      <c r="E844" s="20"/>
      <c r="F844" s="20"/>
    </row>
    <row r="845" ht="22.5" customHeight="1">
      <c r="A845" s="20"/>
      <c r="B845" s="20"/>
      <c r="C845" s="20"/>
      <c r="D845" s="22"/>
      <c r="E845" s="20"/>
      <c r="F845" s="20"/>
    </row>
    <row r="846" ht="22.5" customHeight="1">
      <c r="A846" s="20"/>
      <c r="B846" s="20"/>
      <c r="C846" s="20"/>
      <c r="D846" s="22"/>
      <c r="E846" s="20"/>
      <c r="F846" s="20"/>
    </row>
    <row r="847" ht="22.5" customHeight="1">
      <c r="A847" s="20"/>
      <c r="B847" s="20"/>
      <c r="C847" s="20"/>
      <c r="D847" s="22"/>
      <c r="E847" s="20"/>
      <c r="F847" s="20"/>
    </row>
    <row r="848" ht="22.5" customHeight="1">
      <c r="A848" s="20"/>
      <c r="B848" s="20"/>
      <c r="C848" s="20"/>
      <c r="D848" s="22"/>
      <c r="E848" s="20"/>
      <c r="F848" s="20"/>
    </row>
    <row r="849" ht="22.5" customHeight="1">
      <c r="A849" s="20"/>
      <c r="B849" s="20"/>
      <c r="C849" s="20"/>
      <c r="D849" s="22"/>
      <c r="E849" s="20"/>
      <c r="F849" s="20"/>
    </row>
    <row r="850" ht="22.5" customHeight="1">
      <c r="A850" s="20"/>
      <c r="B850" s="20"/>
      <c r="C850" s="20"/>
      <c r="D850" s="22"/>
      <c r="E850" s="20"/>
      <c r="F850" s="20"/>
    </row>
    <row r="851" ht="22.5" customHeight="1">
      <c r="A851" s="20"/>
      <c r="B851" s="20"/>
      <c r="C851" s="20"/>
      <c r="D851" s="22"/>
      <c r="E851" s="20"/>
      <c r="F851" s="20"/>
    </row>
    <row r="852" ht="22.5" customHeight="1">
      <c r="A852" s="20"/>
      <c r="B852" s="20"/>
      <c r="C852" s="20"/>
      <c r="D852" s="22"/>
      <c r="E852" s="20"/>
      <c r="F852" s="20"/>
    </row>
    <row r="853" ht="22.5" customHeight="1">
      <c r="A853" s="20"/>
      <c r="B853" s="20"/>
      <c r="C853" s="20"/>
      <c r="D853" s="22"/>
      <c r="E853" s="20"/>
      <c r="F853" s="20"/>
    </row>
    <row r="854" ht="22.5" customHeight="1">
      <c r="A854" s="20"/>
      <c r="B854" s="20"/>
      <c r="C854" s="20"/>
      <c r="D854" s="22"/>
      <c r="E854" s="20"/>
      <c r="F854" s="20"/>
    </row>
    <row r="855" ht="22.5" customHeight="1">
      <c r="A855" s="20"/>
      <c r="B855" s="20"/>
      <c r="C855" s="20"/>
      <c r="D855" s="22"/>
      <c r="E855" s="20"/>
      <c r="F855" s="20"/>
    </row>
    <row r="856" ht="22.5" customHeight="1">
      <c r="A856" s="20"/>
      <c r="B856" s="20"/>
      <c r="C856" s="20"/>
      <c r="D856" s="22"/>
      <c r="E856" s="20"/>
      <c r="F856" s="20"/>
    </row>
    <row r="857" ht="22.5" customHeight="1">
      <c r="A857" s="20"/>
      <c r="B857" s="20"/>
      <c r="C857" s="20"/>
      <c r="D857" s="22"/>
      <c r="E857" s="20"/>
      <c r="F857" s="20"/>
    </row>
    <row r="858" ht="22.5" customHeight="1">
      <c r="A858" s="20"/>
      <c r="B858" s="20"/>
      <c r="C858" s="20"/>
      <c r="D858" s="22"/>
      <c r="E858" s="20"/>
      <c r="F858" s="20"/>
    </row>
    <row r="859" ht="22.5" customHeight="1">
      <c r="A859" s="20"/>
      <c r="B859" s="20"/>
      <c r="C859" s="20"/>
      <c r="D859" s="22"/>
      <c r="E859" s="20"/>
      <c r="F859" s="20"/>
    </row>
    <row r="860" ht="22.5" customHeight="1">
      <c r="A860" s="20"/>
      <c r="B860" s="20"/>
      <c r="C860" s="20"/>
      <c r="D860" s="22"/>
      <c r="E860" s="20"/>
      <c r="F860" s="20"/>
    </row>
    <row r="861" ht="22.5" customHeight="1">
      <c r="A861" s="20"/>
      <c r="B861" s="20"/>
      <c r="C861" s="20"/>
      <c r="D861" s="22"/>
      <c r="E861" s="20"/>
      <c r="F861" s="20"/>
    </row>
    <row r="862" ht="22.5" customHeight="1">
      <c r="A862" s="20"/>
      <c r="B862" s="20"/>
      <c r="C862" s="20"/>
      <c r="D862" s="22"/>
      <c r="E862" s="20"/>
      <c r="F862" s="20"/>
    </row>
    <row r="863" ht="22.5" customHeight="1">
      <c r="A863" s="20"/>
      <c r="B863" s="20"/>
      <c r="C863" s="20"/>
      <c r="D863" s="22"/>
      <c r="E863" s="20"/>
      <c r="F863" s="20"/>
    </row>
    <row r="864" ht="22.5" customHeight="1">
      <c r="A864" s="20"/>
      <c r="B864" s="20"/>
      <c r="C864" s="20"/>
      <c r="D864" s="22"/>
      <c r="E864" s="20"/>
      <c r="F864" s="20"/>
    </row>
    <row r="865" ht="22.5" customHeight="1">
      <c r="A865" s="20"/>
      <c r="B865" s="20"/>
      <c r="C865" s="20"/>
      <c r="D865" s="22"/>
      <c r="E865" s="20"/>
      <c r="F865" s="20"/>
    </row>
    <row r="866" ht="22.5" customHeight="1">
      <c r="A866" s="20"/>
      <c r="B866" s="20"/>
      <c r="C866" s="20"/>
      <c r="D866" s="22"/>
      <c r="E866" s="20"/>
      <c r="F866" s="20"/>
    </row>
    <row r="867" ht="22.5" customHeight="1">
      <c r="A867" s="20"/>
      <c r="B867" s="20"/>
      <c r="C867" s="20"/>
      <c r="D867" s="22"/>
      <c r="E867" s="20"/>
      <c r="F867" s="20"/>
    </row>
    <row r="868" ht="22.5" customHeight="1">
      <c r="A868" s="20"/>
      <c r="B868" s="20"/>
      <c r="C868" s="20"/>
      <c r="D868" s="22"/>
      <c r="E868" s="20"/>
      <c r="F868" s="20"/>
    </row>
    <row r="869" ht="22.5" customHeight="1">
      <c r="A869" s="20"/>
      <c r="B869" s="20"/>
      <c r="C869" s="20"/>
      <c r="D869" s="22"/>
      <c r="E869" s="20"/>
      <c r="F869" s="20"/>
    </row>
    <row r="870" ht="22.5" customHeight="1">
      <c r="A870" s="20"/>
      <c r="B870" s="20"/>
      <c r="C870" s="20"/>
      <c r="D870" s="22"/>
      <c r="E870" s="20"/>
      <c r="F870" s="20"/>
    </row>
    <row r="871" ht="22.5" customHeight="1">
      <c r="A871" s="20"/>
      <c r="B871" s="20"/>
      <c r="C871" s="20"/>
      <c r="D871" s="22"/>
      <c r="E871" s="20"/>
      <c r="F871" s="20"/>
    </row>
    <row r="872" ht="22.5" customHeight="1">
      <c r="A872" s="20"/>
      <c r="B872" s="20"/>
      <c r="C872" s="20"/>
      <c r="D872" s="22"/>
      <c r="E872" s="20"/>
      <c r="F872" s="20"/>
    </row>
    <row r="873" ht="22.5" customHeight="1">
      <c r="A873" s="20"/>
      <c r="B873" s="20"/>
      <c r="C873" s="20"/>
      <c r="D873" s="22"/>
      <c r="E873" s="20"/>
      <c r="F873" s="20"/>
    </row>
    <row r="874" ht="22.5" customHeight="1">
      <c r="A874" s="20"/>
      <c r="B874" s="20"/>
      <c r="C874" s="20"/>
      <c r="D874" s="22"/>
      <c r="E874" s="20"/>
      <c r="F874" s="20"/>
    </row>
    <row r="875" ht="22.5" customHeight="1">
      <c r="A875" s="20"/>
      <c r="B875" s="20"/>
      <c r="C875" s="20"/>
      <c r="D875" s="22"/>
      <c r="E875" s="20"/>
      <c r="F875" s="20"/>
    </row>
    <row r="876" ht="22.5" customHeight="1">
      <c r="A876" s="20"/>
      <c r="B876" s="20"/>
      <c r="C876" s="20"/>
      <c r="D876" s="22"/>
      <c r="E876" s="20"/>
      <c r="F876" s="20"/>
    </row>
    <row r="877" ht="22.5" customHeight="1">
      <c r="A877" s="20"/>
      <c r="B877" s="20"/>
      <c r="C877" s="20"/>
      <c r="D877" s="22"/>
      <c r="E877" s="20"/>
      <c r="F877" s="20"/>
    </row>
    <row r="878" ht="22.5" customHeight="1">
      <c r="A878" s="20"/>
      <c r="B878" s="20"/>
      <c r="C878" s="20"/>
      <c r="D878" s="22"/>
      <c r="E878" s="20"/>
      <c r="F878" s="20"/>
    </row>
    <row r="879" ht="22.5" customHeight="1">
      <c r="A879" s="20"/>
      <c r="B879" s="20"/>
      <c r="C879" s="20"/>
      <c r="D879" s="22"/>
      <c r="E879" s="20"/>
      <c r="F879" s="20"/>
    </row>
    <row r="880" ht="22.5" customHeight="1">
      <c r="A880" s="20"/>
      <c r="B880" s="20"/>
      <c r="C880" s="20"/>
      <c r="D880" s="22"/>
      <c r="E880" s="20"/>
      <c r="F880" s="20"/>
    </row>
    <row r="881" ht="22.5" customHeight="1">
      <c r="A881" s="20"/>
      <c r="B881" s="20"/>
      <c r="C881" s="20"/>
      <c r="D881" s="22"/>
      <c r="E881" s="20"/>
      <c r="F881" s="20"/>
    </row>
    <row r="882" ht="22.5" customHeight="1">
      <c r="A882" s="20"/>
      <c r="B882" s="20"/>
      <c r="C882" s="20"/>
      <c r="D882" s="22"/>
      <c r="E882" s="20"/>
      <c r="F882" s="20"/>
    </row>
    <row r="883" ht="22.5" customHeight="1">
      <c r="A883" s="20"/>
      <c r="B883" s="20"/>
      <c r="C883" s="20"/>
      <c r="D883" s="22"/>
      <c r="E883" s="20"/>
      <c r="F883" s="20"/>
    </row>
    <row r="884" ht="22.5" customHeight="1">
      <c r="A884" s="20"/>
      <c r="B884" s="20"/>
      <c r="C884" s="20"/>
      <c r="D884" s="22"/>
      <c r="E884" s="20"/>
      <c r="F884" s="20"/>
    </row>
    <row r="885" ht="22.5" customHeight="1">
      <c r="A885" s="20"/>
      <c r="B885" s="20"/>
      <c r="C885" s="20"/>
      <c r="D885" s="22"/>
      <c r="E885" s="20"/>
      <c r="F885" s="20"/>
    </row>
    <row r="886" ht="22.5" customHeight="1">
      <c r="A886" s="20"/>
      <c r="B886" s="20"/>
      <c r="C886" s="20"/>
      <c r="D886" s="22"/>
      <c r="E886" s="20"/>
      <c r="F886" s="20"/>
    </row>
    <row r="887" ht="22.5" customHeight="1">
      <c r="A887" s="20"/>
      <c r="B887" s="20"/>
      <c r="C887" s="20"/>
      <c r="D887" s="22"/>
      <c r="E887" s="20"/>
      <c r="F887" s="20"/>
    </row>
    <row r="888" ht="22.5" customHeight="1">
      <c r="A888" s="20"/>
      <c r="B888" s="20"/>
      <c r="C888" s="20"/>
      <c r="D888" s="22"/>
      <c r="E888" s="20"/>
      <c r="F888" s="20"/>
    </row>
    <row r="889" ht="22.5" customHeight="1">
      <c r="A889" s="20"/>
      <c r="B889" s="20"/>
      <c r="C889" s="20"/>
      <c r="D889" s="22"/>
      <c r="E889" s="20"/>
      <c r="F889" s="20"/>
    </row>
    <row r="890" ht="22.5" customHeight="1">
      <c r="A890" s="20"/>
      <c r="B890" s="20"/>
      <c r="C890" s="20"/>
      <c r="D890" s="22"/>
      <c r="E890" s="20"/>
      <c r="F890" s="20"/>
    </row>
    <row r="891" ht="22.5" customHeight="1">
      <c r="A891" s="20"/>
      <c r="B891" s="20"/>
      <c r="C891" s="20"/>
      <c r="D891" s="22"/>
      <c r="E891" s="20"/>
      <c r="F891" s="20"/>
    </row>
    <row r="892" ht="22.5" customHeight="1">
      <c r="A892" s="20"/>
      <c r="B892" s="20"/>
      <c r="C892" s="20"/>
      <c r="D892" s="22"/>
      <c r="E892" s="20"/>
      <c r="F892" s="20"/>
    </row>
    <row r="893" ht="22.5" customHeight="1">
      <c r="A893" s="20"/>
      <c r="B893" s="20"/>
      <c r="C893" s="20"/>
      <c r="D893" s="22"/>
      <c r="E893" s="20"/>
      <c r="F893" s="20"/>
    </row>
    <row r="894" ht="22.5" customHeight="1">
      <c r="A894" s="20"/>
      <c r="B894" s="20"/>
      <c r="C894" s="20"/>
      <c r="D894" s="22"/>
      <c r="E894" s="20"/>
      <c r="F894" s="20"/>
    </row>
    <row r="895" ht="22.5" customHeight="1">
      <c r="A895" s="20"/>
      <c r="B895" s="20"/>
      <c r="C895" s="20"/>
      <c r="D895" s="22"/>
      <c r="E895" s="20"/>
      <c r="F895" s="20"/>
    </row>
    <row r="896" ht="22.5" customHeight="1">
      <c r="A896" s="20"/>
      <c r="B896" s="20"/>
      <c r="C896" s="20"/>
      <c r="D896" s="22"/>
      <c r="E896" s="20"/>
      <c r="F896" s="20"/>
    </row>
    <row r="897" ht="22.5" customHeight="1">
      <c r="A897" s="20"/>
      <c r="B897" s="20"/>
      <c r="C897" s="20"/>
      <c r="D897" s="22"/>
      <c r="E897" s="20"/>
      <c r="F897" s="20"/>
    </row>
    <row r="898" ht="22.5" customHeight="1">
      <c r="A898" s="20"/>
      <c r="B898" s="20"/>
      <c r="C898" s="20"/>
      <c r="D898" s="22"/>
      <c r="E898" s="20"/>
      <c r="F898" s="20"/>
    </row>
    <row r="899" ht="22.5" customHeight="1">
      <c r="A899" s="20"/>
      <c r="B899" s="20"/>
      <c r="C899" s="20"/>
      <c r="D899" s="22"/>
      <c r="E899" s="20"/>
      <c r="F899" s="20"/>
    </row>
    <row r="900" ht="22.5" customHeight="1">
      <c r="A900" s="20"/>
      <c r="B900" s="20"/>
      <c r="C900" s="20"/>
      <c r="D900" s="22"/>
      <c r="E900" s="20"/>
      <c r="F900" s="20"/>
    </row>
    <row r="901" ht="22.5" customHeight="1">
      <c r="A901" s="20"/>
      <c r="B901" s="20"/>
      <c r="C901" s="20"/>
      <c r="D901" s="22"/>
      <c r="E901" s="20"/>
      <c r="F901" s="20"/>
    </row>
    <row r="902" ht="22.5" customHeight="1">
      <c r="A902" s="20"/>
      <c r="B902" s="20"/>
      <c r="C902" s="20"/>
      <c r="D902" s="22"/>
      <c r="E902" s="20"/>
      <c r="F902" s="20"/>
    </row>
    <row r="903" ht="22.5" customHeight="1">
      <c r="A903" s="20"/>
      <c r="B903" s="20"/>
      <c r="C903" s="20"/>
      <c r="D903" s="22"/>
      <c r="E903" s="20"/>
      <c r="F903" s="20"/>
    </row>
    <row r="904" ht="22.5" customHeight="1">
      <c r="A904" s="20"/>
      <c r="B904" s="20"/>
      <c r="C904" s="20"/>
      <c r="D904" s="22"/>
      <c r="E904" s="20"/>
      <c r="F904" s="20"/>
    </row>
    <row r="905" ht="22.5" customHeight="1">
      <c r="A905" s="20"/>
      <c r="B905" s="20"/>
      <c r="C905" s="20"/>
      <c r="D905" s="22"/>
      <c r="E905" s="20"/>
      <c r="F905" s="20"/>
    </row>
    <row r="906" ht="22.5" customHeight="1">
      <c r="A906" s="20"/>
      <c r="B906" s="20"/>
      <c r="C906" s="20"/>
      <c r="D906" s="22"/>
      <c r="E906" s="20"/>
      <c r="F906" s="20"/>
    </row>
    <row r="907" ht="22.5" customHeight="1">
      <c r="A907" s="20"/>
      <c r="B907" s="20"/>
      <c r="C907" s="20"/>
      <c r="D907" s="22"/>
      <c r="E907" s="20"/>
      <c r="F907" s="20"/>
    </row>
    <row r="908" ht="22.5" customHeight="1">
      <c r="A908" s="20"/>
      <c r="B908" s="20"/>
      <c r="C908" s="20"/>
      <c r="D908" s="22"/>
      <c r="E908" s="20"/>
      <c r="F908" s="20"/>
    </row>
    <row r="909" ht="22.5" customHeight="1">
      <c r="A909" s="20"/>
      <c r="B909" s="20"/>
      <c r="C909" s="20"/>
      <c r="D909" s="22"/>
      <c r="E909" s="20"/>
      <c r="F909" s="20"/>
    </row>
    <row r="910" ht="22.5" customHeight="1">
      <c r="A910" s="20"/>
      <c r="B910" s="20"/>
      <c r="C910" s="20"/>
      <c r="D910" s="22"/>
      <c r="E910" s="20"/>
      <c r="F910" s="20"/>
    </row>
    <row r="911" ht="22.5" customHeight="1">
      <c r="A911" s="20"/>
      <c r="B911" s="20"/>
      <c r="C911" s="20"/>
      <c r="D911" s="22"/>
      <c r="E911" s="20"/>
      <c r="F911" s="20"/>
    </row>
    <row r="912" ht="22.5" customHeight="1">
      <c r="A912" s="20"/>
      <c r="B912" s="20"/>
      <c r="C912" s="20"/>
      <c r="D912" s="22"/>
      <c r="E912" s="20"/>
      <c r="F912" s="20"/>
    </row>
    <row r="913" ht="22.5" customHeight="1">
      <c r="A913" s="20"/>
      <c r="B913" s="20"/>
      <c r="C913" s="20"/>
      <c r="D913" s="22"/>
      <c r="E913" s="20"/>
      <c r="F913" s="20"/>
    </row>
    <row r="914" ht="22.5" customHeight="1">
      <c r="A914" s="20"/>
      <c r="B914" s="20"/>
      <c r="C914" s="20"/>
      <c r="D914" s="22"/>
      <c r="E914" s="20"/>
      <c r="F914" s="20"/>
    </row>
    <row r="915" ht="22.5" customHeight="1">
      <c r="A915" s="20"/>
      <c r="B915" s="20"/>
      <c r="C915" s="20"/>
      <c r="D915" s="22"/>
      <c r="E915" s="20"/>
      <c r="F915" s="20"/>
    </row>
    <row r="916" ht="22.5" customHeight="1">
      <c r="A916" s="20"/>
      <c r="B916" s="20"/>
      <c r="C916" s="20"/>
      <c r="D916" s="22"/>
      <c r="E916" s="20"/>
      <c r="F916" s="20"/>
    </row>
    <row r="917" ht="22.5" customHeight="1">
      <c r="A917" s="20"/>
      <c r="B917" s="20"/>
      <c r="C917" s="20"/>
      <c r="D917" s="22"/>
      <c r="E917" s="20"/>
      <c r="F917" s="20"/>
    </row>
    <row r="918" ht="22.5" customHeight="1">
      <c r="A918" s="20"/>
      <c r="B918" s="20"/>
      <c r="C918" s="20"/>
      <c r="D918" s="22"/>
      <c r="E918" s="20"/>
      <c r="F918" s="20"/>
    </row>
    <row r="919" ht="22.5" customHeight="1">
      <c r="A919" s="20"/>
      <c r="B919" s="20"/>
      <c r="C919" s="20"/>
      <c r="D919" s="22"/>
      <c r="E919" s="20"/>
      <c r="F919" s="20"/>
    </row>
    <row r="920" ht="22.5" customHeight="1">
      <c r="A920" s="20"/>
      <c r="B920" s="20"/>
      <c r="C920" s="20"/>
      <c r="D920" s="22"/>
      <c r="E920" s="20"/>
      <c r="F920" s="20"/>
    </row>
    <row r="921" ht="22.5" customHeight="1">
      <c r="A921" s="20"/>
      <c r="B921" s="20"/>
      <c r="C921" s="20"/>
      <c r="D921" s="22"/>
      <c r="E921" s="20"/>
      <c r="F921" s="20"/>
    </row>
    <row r="922" ht="22.5" customHeight="1">
      <c r="A922" s="20"/>
      <c r="B922" s="20"/>
      <c r="C922" s="20"/>
      <c r="D922" s="22"/>
      <c r="E922" s="20"/>
      <c r="F922" s="20"/>
    </row>
    <row r="923" ht="22.5" customHeight="1">
      <c r="A923" s="20"/>
      <c r="B923" s="20"/>
      <c r="C923" s="20"/>
      <c r="D923" s="22"/>
      <c r="E923" s="20"/>
      <c r="F923" s="20"/>
    </row>
    <row r="924" ht="22.5" customHeight="1">
      <c r="A924" s="20"/>
      <c r="B924" s="20"/>
      <c r="C924" s="20"/>
      <c r="D924" s="22"/>
      <c r="E924" s="20"/>
      <c r="F924" s="20"/>
    </row>
    <row r="925" ht="22.5" customHeight="1">
      <c r="A925" s="20"/>
      <c r="B925" s="20"/>
      <c r="C925" s="20"/>
      <c r="D925" s="22"/>
      <c r="E925" s="20"/>
      <c r="F925" s="20"/>
    </row>
    <row r="926" ht="22.5" customHeight="1">
      <c r="A926" s="20"/>
      <c r="B926" s="20"/>
      <c r="C926" s="20"/>
      <c r="D926" s="22"/>
      <c r="E926" s="20"/>
      <c r="F926" s="20"/>
    </row>
    <row r="927" ht="22.5" customHeight="1">
      <c r="A927" s="20"/>
      <c r="B927" s="20"/>
      <c r="C927" s="20"/>
      <c r="D927" s="22"/>
      <c r="E927" s="20"/>
      <c r="F927" s="20"/>
    </row>
    <row r="928" ht="22.5" customHeight="1">
      <c r="A928" s="20"/>
      <c r="B928" s="20"/>
      <c r="C928" s="20"/>
      <c r="D928" s="22"/>
      <c r="E928" s="20"/>
      <c r="F928" s="20"/>
    </row>
    <row r="929" ht="22.5" customHeight="1">
      <c r="A929" s="20"/>
      <c r="B929" s="20"/>
      <c r="C929" s="20"/>
      <c r="D929" s="22"/>
      <c r="E929" s="20"/>
      <c r="F929" s="20"/>
    </row>
    <row r="930" ht="22.5" customHeight="1">
      <c r="A930" s="20"/>
      <c r="B930" s="20"/>
      <c r="C930" s="20"/>
      <c r="D930" s="22"/>
      <c r="E930" s="20"/>
      <c r="F930" s="20"/>
    </row>
    <row r="931" ht="22.5" customHeight="1">
      <c r="A931" s="20"/>
      <c r="B931" s="20"/>
      <c r="C931" s="20"/>
      <c r="D931" s="22"/>
      <c r="E931" s="20"/>
      <c r="F931" s="20"/>
    </row>
    <row r="932" ht="22.5" customHeight="1">
      <c r="A932" s="20"/>
      <c r="B932" s="20"/>
      <c r="C932" s="20"/>
      <c r="D932" s="22"/>
      <c r="E932" s="20"/>
      <c r="F932" s="20"/>
    </row>
    <row r="933" ht="22.5" customHeight="1">
      <c r="A933" s="20"/>
      <c r="B933" s="20"/>
      <c r="C933" s="20"/>
      <c r="D933" s="22"/>
      <c r="E933" s="20"/>
      <c r="F933" s="20"/>
    </row>
    <row r="934" ht="22.5" customHeight="1">
      <c r="A934" s="20"/>
      <c r="B934" s="20"/>
      <c r="C934" s="20"/>
      <c r="D934" s="22"/>
      <c r="E934" s="20"/>
      <c r="F934" s="20"/>
    </row>
    <row r="935" ht="22.5" customHeight="1">
      <c r="A935" s="20"/>
      <c r="B935" s="20"/>
      <c r="C935" s="20"/>
      <c r="D935" s="22"/>
      <c r="E935" s="20"/>
      <c r="F935" s="20"/>
    </row>
    <row r="936" ht="22.5" customHeight="1">
      <c r="A936" s="20"/>
      <c r="B936" s="20"/>
      <c r="C936" s="20"/>
      <c r="D936" s="22"/>
      <c r="E936" s="20"/>
      <c r="F936" s="20"/>
    </row>
    <row r="937" ht="22.5" customHeight="1">
      <c r="A937" s="20"/>
      <c r="B937" s="20"/>
      <c r="C937" s="20"/>
      <c r="D937" s="22"/>
      <c r="E937" s="20"/>
      <c r="F937" s="20"/>
    </row>
    <row r="938" ht="22.5" customHeight="1">
      <c r="A938" s="20"/>
      <c r="B938" s="20"/>
      <c r="C938" s="20"/>
      <c r="D938" s="22"/>
      <c r="E938" s="20"/>
      <c r="F938" s="20"/>
    </row>
    <row r="939" ht="22.5" customHeight="1">
      <c r="A939" s="20"/>
      <c r="B939" s="20"/>
      <c r="C939" s="20"/>
      <c r="D939" s="22"/>
      <c r="E939" s="20"/>
      <c r="F939" s="20"/>
    </row>
    <row r="940" ht="22.5" customHeight="1">
      <c r="A940" s="20"/>
      <c r="B940" s="20"/>
      <c r="C940" s="20"/>
      <c r="D940" s="22"/>
      <c r="E940" s="20"/>
      <c r="F940" s="20"/>
    </row>
    <row r="941" ht="22.5" customHeight="1">
      <c r="A941" s="20"/>
      <c r="B941" s="20"/>
      <c r="C941" s="20"/>
      <c r="D941" s="22"/>
      <c r="E941" s="20"/>
      <c r="F941" s="20"/>
    </row>
    <row r="942" ht="22.5" customHeight="1">
      <c r="A942" s="20"/>
      <c r="B942" s="20"/>
      <c r="C942" s="20"/>
      <c r="D942" s="22"/>
      <c r="E942" s="20"/>
      <c r="F942" s="20"/>
    </row>
    <row r="943" ht="22.5" customHeight="1">
      <c r="A943" s="20"/>
      <c r="B943" s="20"/>
      <c r="C943" s="20"/>
      <c r="D943" s="22"/>
      <c r="E943" s="20"/>
      <c r="F943" s="20"/>
    </row>
    <row r="944" ht="22.5" customHeight="1">
      <c r="A944" s="20"/>
      <c r="B944" s="20"/>
      <c r="C944" s="20"/>
      <c r="D944" s="22"/>
      <c r="E944" s="20"/>
      <c r="F944" s="20"/>
    </row>
    <row r="945" ht="22.5" customHeight="1">
      <c r="A945" s="20"/>
      <c r="B945" s="20"/>
      <c r="C945" s="20"/>
      <c r="D945" s="22"/>
      <c r="E945" s="20"/>
      <c r="F945" s="20"/>
    </row>
    <row r="946" ht="22.5" customHeight="1">
      <c r="A946" s="20"/>
      <c r="B946" s="20"/>
      <c r="C946" s="20"/>
      <c r="D946" s="22"/>
      <c r="E946" s="20"/>
      <c r="F946" s="20"/>
    </row>
    <row r="947" ht="22.5" customHeight="1">
      <c r="A947" s="20"/>
      <c r="B947" s="20"/>
      <c r="C947" s="20"/>
      <c r="D947" s="22"/>
      <c r="E947" s="20"/>
      <c r="F947" s="20"/>
    </row>
    <row r="948" ht="22.5" customHeight="1">
      <c r="A948" s="20"/>
      <c r="B948" s="20"/>
      <c r="C948" s="20"/>
      <c r="D948" s="22"/>
      <c r="E948" s="20"/>
      <c r="F948" s="20"/>
    </row>
    <row r="949" ht="22.5" customHeight="1">
      <c r="A949" s="20"/>
      <c r="B949" s="20"/>
      <c r="C949" s="20"/>
      <c r="D949" s="22"/>
      <c r="E949" s="20"/>
      <c r="F949" s="20"/>
    </row>
    <row r="950" ht="22.5" customHeight="1">
      <c r="A950" s="20"/>
      <c r="B950" s="20"/>
      <c r="C950" s="20"/>
      <c r="D950" s="22"/>
      <c r="E950" s="20"/>
      <c r="F950" s="20"/>
    </row>
    <row r="951" ht="22.5" customHeight="1">
      <c r="A951" s="20"/>
      <c r="B951" s="20"/>
      <c r="C951" s="20"/>
      <c r="D951" s="22"/>
      <c r="E951" s="20"/>
      <c r="F951" s="20"/>
    </row>
    <row r="952" ht="22.5" customHeight="1">
      <c r="A952" s="20"/>
      <c r="B952" s="20"/>
      <c r="C952" s="20"/>
      <c r="D952" s="22"/>
      <c r="E952" s="20"/>
      <c r="F952" s="20"/>
    </row>
    <row r="953" ht="22.5" customHeight="1">
      <c r="A953" s="20"/>
      <c r="B953" s="20"/>
      <c r="C953" s="20"/>
      <c r="D953" s="22"/>
      <c r="E953" s="20"/>
      <c r="F953" s="20"/>
    </row>
    <row r="954" ht="22.5" customHeight="1">
      <c r="A954" s="20"/>
      <c r="B954" s="20"/>
      <c r="C954" s="20"/>
      <c r="D954" s="22"/>
      <c r="E954" s="20"/>
      <c r="F954" s="20"/>
    </row>
    <row r="955" ht="22.5" customHeight="1">
      <c r="A955" s="20"/>
      <c r="B955" s="20"/>
      <c r="C955" s="20"/>
      <c r="D955" s="22"/>
      <c r="E955" s="20"/>
      <c r="F955" s="20"/>
    </row>
    <row r="956" ht="22.5" customHeight="1">
      <c r="A956" s="20"/>
      <c r="B956" s="20"/>
      <c r="C956" s="20"/>
      <c r="D956" s="22"/>
      <c r="E956" s="20"/>
      <c r="F956" s="20"/>
    </row>
    <row r="957" ht="22.5" customHeight="1">
      <c r="A957" s="20"/>
      <c r="B957" s="20"/>
      <c r="C957" s="20"/>
      <c r="D957" s="22"/>
      <c r="E957" s="20"/>
      <c r="F957" s="20"/>
    </row>
    <row r="958" ht="22.5" customHeight="1">
      <c r="A958" s="20"/>
      <c r="B958" s="20"/>
      <c r="C958" s="20"/>
      <c r="D958" s="22"/>
      <c r="E958" s="20"/>
      <c r="F958" s="20"/>
    </row>
    <row r="959" ht="22.5" customHeight="1">
      <c r="A959" s="20"/>
      <c r="B959" s="20"/>
      <c r="C959" s="20"/>
      <c r="D959" s="22"/>
      <c r="E959" s="20"/>
      <c r="F959" s="20"/>
    </row>
    <row r="960" ht="22.5" customHeight="1">
      <c r="A960" s="20"/>
      <c r="B960" s="20"/>
      <c r="C960" s="20"/>
      <c r="D960" s="22"/>
      <c r="E960" s="20"/>
      <c r="F960" s="20"/>
    </row>
    <row r="961" ht="22.5" customHeight="1">
      <c r="A961" s="20"/>
      <c r="B961" s="20"/>
      <c r="C961" s="20"/>
      <c r="D961" s="22"/>
      <c r="E961" s="20"/>
      <c r="F961" s="20"/>
    </row>
    <row r="962" ht="22.5" customHeight="1">
      <c r="A962" s="20"/>
      <c r="B962" s="20"/>
      <c r="C962" s="20"/>
      <c r="D962" s="22"/>
      <c r="E962" s="20"/>
      <c r="F962" s="20"/>
    </row>
    <row r="963" ht="22.5" customHeight="1">
      <c r="A963" s="20"/>
      <c r="B963" s="20"/>
      <c r="C963" s="20"/>
      <c r="D963" s="22"/>
      <c r="E963" s="20"/>
      <c r="F963" s="20"/>
    </row>
    <row r="964" ht="22.5" customHeight="1">
      <c r="A964" s="20"/>
      <c r="B964" s="20"/>
      <c r="C964" s="20"/>
      <c r="D964" s="22"/>
      <c r="E964" s="20"/>
      <c r="F964" s="20"/>
    </row>
    <row r="965" ht="22.5" customHeight="1">
      <c r="A965" s="20"/>
      <c r="B965" s="20"/>
      <c r="C965" s="20"/>
      <c r="D965" s="22"/>
      <c r="E965" s="20"/>
      <c r="F965" s="20"/>
    </row>
    <row r="966" ht="22.5" customHeight="1">
      <c r="A966" s="20"/>
      <c r="B966" s="20"/>
      <c r="C966" s="20"/>
      <c r="D966" s="22"/>
      <c r="E966" s="20"/>
      <c r="F966" s="20"/>
    </row>
    <row r="967" ht="22.5" customHeight="1">
      <c r="A967" s="20"/>
      <c r="B967" s="20"/>
      <c r="C967" s="20"/>
      <c r="D967" s="22"/>
      <c r="E967" s="20"/>
      <c r="F967" s="20"/>
    </row>
    <row r="968" ht="22.5" customHeight="1">
      <c r="A968" s="20"/>
      <c r="B968" s="20"/>
      <c r="C968" s="20"/>
      <c r="D968" s="22"/>
      <c r="E968" s="20"/>
      <c r="F968" s="20"/>
    </row>
    <row r="969" ht="22.5" customHeight="1">
      <c r="A969" s="20"/>
      <c r="B969" s="20"/>
      <c r="C969" s="20"/>
      <c r="D969" s="22"/>
      <c r="E969" s="20"/>
      <c r="F969" s="20"/>
    </row>
    <row r="970" ht="22.5" customHeight="1">
      <c r="A970" s="20"/>
      <c r="B970" s="20"/>
      <c r="C970" s="20"/>
      <c r="D970" s="22"/>
      <c r="E970" s="20"/>
      <c r="F970" s="20"/>
    </row>
    <row r="971" ht="22.5" customHeight="1">
      <c r="A971" s="20"/>
      <c r="B971" s="20"/>
      <c r="C971" s="20"/>
      <c r="D971" s="22"/>
      <c r="E971" s="20"/>
      <c r="F971" s="20"/>
    </row>
    <row r="972" ht="22.5" customHeight="1">
      <c r="A972" s="20"/>
      <c r="B972" s="20"/>
      <c r="C972" s="20"/>
      <c r="D972" s="22"/>
      <c r="E972" s="20"/>
      <c r="F972" s="20"/>
    </row>
    <row r="973" ht="22.5" customHeight="1">
      <c r="A973" s="20"/>
      <c r="B973" s="20"/>
      <c r="C973" s="20"/>
      <c r="D973" s="22"/>
      <c r="E973" s="20"/>
      <c r="F973" s="20"/>
    </row>
    <row r="974" ht="22.5" customHeight="1">
      <c r="A974" s="20"/>
      <c r="B974" s="20"/>
      <c r="C974" s="20"/>
      <c r="D974" s="22"/>
      <c r="E974" s="20"/>
      <c r="F974" s="20"/>
    </row>
    <row r="975" ht="22.5" customHeight="1">
      <c r="A975" s="20"/>
      <c r="B975" s="20"/>
      <c r="C975" s="20"/>
      <c r="D975" s="22"/>
      <c r="E975" s="20"/>
      <c r="F975" s="20"/>
    </row>
    <row r="976" ht="22.5" customHeight="1">
      <c r="A976" s="20"/>
      <c r="B976" s="20"/>
      <c r="C976" s="20"/>
      <c r="D976" s="22"/>
      <c r="E976" s="20"/>
      <c r="F976" s="20"/>
    </row>
    <row r="977" ht="22.5" customHeight="1">
      <c r="A977" s="20"/>
      <c r="B977" s="20"/>
      <c r="C977" s="20"/>
      <c r="D977" s="22"/>
      <c r="E977" s="20"/>
      <c r="F977" s="20"/>
    </row>
    <row r="978" ht="22.5" customHeight="1">
      <c r="A978" s="20"/>
      <c r="B978" s="20"/>
      <c r="C978" s="20"/>
      <c r="D978" s="22"/>
      <c r="E978" s="20"/>
      <c r="F978" s="20"/>
    </row>
    <row r="979" ht="22.5" customHeight="1">
      <c r="A979" s="20"/>
      <c r="B979" s="20"/>
      <c r="C979" s="20"/>
      <c r="D979" s="22"/>
      <c r="E979" s="20"/>
      <c r="F979" s="20"/>
    </row>
    <row r="980" ht="22.5" customHeight="1">
      <c r="A980" s="20"/>
      <c r="B980" s="20"/>
      <c r="C980" s="20"/>
      <c r="D980" s="22"/>
      <c r="E980" s="20"/>
      <c r="F980" s="20"/>
    </row>
    <row r="981" ht="22.5" customHeight="1">
      <c r="A981" s="20"/>
      <c r="B981" s="20"/>
      <c r="C981" s="20"/>
      <c r="D981" s="22"/>
      <c r="E981" s="20"/>
      <c r="F981" s="20"/>
    </row>
    <row r="982" ht="22.5" customHeight="1">
      <c r="A982" s="20"/>
      <c r="B982" s="20"/>
      <c r="C982" s="20"/>
      <c r="D982" s="22"/>
      <c r="E982" s="20"/>
      <c r="F982" s="20"/>
    </row>
    <row r="983" ht="22.5" customHeight="1">
      <c r="A983" s="20"/>
      <c r="B983" s="20"/>
      <c r="C983" s="20"/>
      <c r="D983" s="22"/>
      <c r="E983" s="20"/>
      <c r="F983" s="20"/>
    </row>
    <row r="984" ht="22.5" customHeight="1">
      <c r="A984" s="20"/>
      <c r="B984" s="20"/>
      <c r="C984" s="20"/>
      <c r="D984" s="22"/>
      <c r="E984" s="20"/>
      <c r="F984" s="20"/>
    </row>
    <row r="985" ht="22.5" customHeight="1">
      <c r="A985" s="20"/>
      <c r="B985" s="20"/>
      <c r="C985" s="20"/>
      <c r="D985" s="22"/>
      <c r="E985" s="20"/>
      <c r="F985" s="20"/>
    </row>
    <row r="986" ht="22.5" customHeight="1">
      <c r="A986" s="20"/>
      <c r="B986" s="20"/>
      <c r="C986" s="20"/>
      <c r="D986" s="22"/>
      <c r="E986" s="20"/>
      <c r="F986" s="20"/>
    </row>
    <row r="987" ht="22.5" customHeight="1">
      <c r="A987" s="20"/>
      <c r="B987" s="20"/>
      <c r="C987" s="20"/>
      <c r="D987" s="22"/>
      <c r="E987" s="20"/>
      <c r="F987" s="20"/>
    </row>
    <row r="988" ht="22.5" customHeight="1">
      <c r="A988" s="20"/>
      <c r="B988" s="20"/>
      <c r="C988" s="20"/>
      <c r="D988" s="22"/>
      <c r="E988" s="20"/>
      <c r="F988" s="20"/>
    </row>
    <row r="989" ht="22.5" customHeight="1">
      <c r="A989" s="20"/>
      <c r="B989" s="20"/>
      <c r="C989" s="20"/>
      <c r="D989" s="22"/>
      <c r="E989" s="20"/>
      <c r="F989" s="20"/>
    </row>
    <row r="990" ht="22.5" customHeight="1">
      <c r="A990" s="20"/>
      <c r="B990" s="20"/>
      <c r="C990" s="20"/>
      <c r="D990" s="22"/>
      <c r="E990" s="20"/>
      <c r="F990" s="20"/>
    </row>
    <row r="991" ht="22.5" customHeight="1">
      <c r="A991" s="20"/>
      <c r="B991" s="20"/>
      <c r="C991" s="20"/>
      <c r="D991" s="22"/>
      <c r="E991" s="20"/>
      <c r="F991" s="20"/>
    </row>
    <row r="992" ht="22.5" customHeight="1">
      <c r="A992" s="20"/>
      <c r="B992" s="20"/>
      <c r="C992" s="20"/>
      <c r="D992" s="22"/>
      <c r="E992" s="20"/>
      <c r="F992" s="20"/>
    </row>
    <row r="993" ht="22.5" customHeight="1">
      <c r="A993" s="20"/>
      <c r="B993" s="20"/>
      <c r="C993" s="20"/>
      <c r="D993" s="22"/>
      <c r="E993" s="20"/>
      <c r="F993" s="20"/>
    </row>
    <row r="994" ht="22.5" customHeight="1">
      <c r="A994" s="20"/>
      <c r="B994" s="20"/>
      <c r="C994" s="20"/>
      <c r="D994" s="22"/>
      <c r="E994" s="20"/>
      <c r="F994" s="20"/>
    </row>
    <row r="995" ht="22.5" customHeight="1">
      <c r="A995" s="20"/>
      <c r="B995" s="20"/>
      <c r="C995" s="20"/>
      <c r="D995" s="22"/>
      <c r="E995" s="20"/>
      <c r="F995" s="20"/>
    </row>
    <row r="996" ht="22.5" customHeight="1">
      <c r="A996" s="20"/>
      <c r="B996" s="20"/>
      <c r="C996" s="20"/>
      <c r="D996" s="22"/>
      <c r="E996" s="20"/>
      <c r="F996" s="20"/>
    </row>
  </sheetData>
  <hyperlinks>
    <hyperlink r:id="rId4" ref="H2"/>
    <hyperlink r:id="rId5" ref="H3"/>
    <hyperlink r:id="rId6" ref="H4"/>
    <hyperlink r:id="rId7" ref="H5"/>
    <hyperlink r:id="rId8" ref="H6"/>
    <hyperlink r:id="rId9" ref="H7"/>
    <hyperlink r:id="rId10" ref="H8"/>
    <hyperlink r:id="rId11" ref="H9"/>
    <hyperlink r:id="rId12" ref="H10"/>
    <hyperlink r:id="rId13" ref="H11"/>
    <hyperlink r:id="rId14" ref="H12"/>
    <hyperlink r:id="rId15" ref="H13"/>
    <hyperlink r:id="rId16" ref="H14"/>
    <hyperlink r:id="rId17" ref="H15"/>
    <hyperlink r:id="rId18" ref="H16"/>
    <hyperlink r:id="rId19" ref="H17"/>
    <hyperlink r:id="rId20" ref="H19"/>
    <hyperlink r:id="rId21" ref="H20"/>
    <hyperlink r:id="rId22" ref="H21"/>
    <hyperlink r:id="rId23" ref="H22"/>
    <hyperlink r:id="rId24" ref="H23"/>
    <hyperlink r:id="rId25" ref="H24"/>
    <hyperlink r:id="rId26" ref="H25"/>
    <hyperlink r:id="rId27" ref="H26"/>
    <hyperlink r:id="rId28" ref="H27"/>
    <hyperlink r:id="rId29" ref="H28"/>
    <hyperlink r:id="rId30" ref="H29"/>
    <hyperlink r:id="rId31" ref="H30"/>
    <hyperlink r:id="rId32" ref="H31"/>
    <hyperlink r:id="rId33" ref="H32"/>
    <hyperlink r:id="rId34" ref="H33"/>
    <hyperlink r:id="rId35" ref="H34"/>
    <hyperlink r:id="rId36" ref="H35"/>
    <hyperlink r:id="rId37" ref="H36"/>
    <hyperlink r:id="rId38" ref="H37"/>
    <hyperlink r:id="rId39" ref="H38"/>
    <hyperlink r:id="rId40" ref="H39"/>
    <hyperlink r:id="rId41" ref="H40"/>
    <hyperlink r:id="rId42" ref="H41"/>
    <hyperlink r:id="rId43" ref="H42"/>
    <hyperlink r:id="rId44" ref="H43"/>
    <hyperlink r:id="rId45" ref="H44"/>
    <hyperlink r:id="rId46" ref="H45"/>
    <hyperlink r:id="rId47" ref="H46"/>
    <hyperlink r:id="rId48" ref="H47"/>
    <hyperlink r:id="rId49" ref="H48"/>
    <hyperlink r:id="rId50" ref="H49"/>
    <hyperlink r:id="rId51" ref="H50"/>
    <hyperlink r:id="rId52" ref="H51"/>
    <hyperlink r:id="rId53" ref="H52"/>
    <hyperlink r:id="rId54" ref="H53"/>
    <hyperlink r:id="rId55" ref="H54"/>
    <hyperlink r:id="rId56" ref="H55"/>
    <hyperlink r:id="rId57" ref="H56"/>
    <hyperlink r:id="rId58" ref="H57"/>
    <hyperlink r:id="rId59" ref="H58"/>
    <hyperlink r:id="rId60" ref="H59"/>
    <hyperlink r:id="rId61" ref="H60"/>
    <hyperlink r:id="rId62" ref="H61"/>
    <hyperlink r:id="rId63" ref="H62"/>
    <hyperlink r:id="rId64" ref="H63"/>
    <hyperlink r:id="rId65" ref="H64"/>
    <hyperlink r:id="rId66" ref="H65"/>
    <hyperlink r:id="rId67" ref="H66"/>
    <hyperlink r:id="rId68" ref="H67"/>
    <hyperlink r:id="rId69" ref="H68"/>
    <hyperlink r:id="rId70" ref="H69"/>
    <hyperlink r:id="rId71" ref="H70"/>
    <hyperlink r:id="rId72" ref="H71"/>
    <hyperlink r:id="rId73" ref="H72"/>
    <hyperlink r:id="rId74" ref="H73"/>
    <hyperlink r:id="rId75" ref="H74"/>
    <hyperlink r:id="rId76" ref="H75"/>
    <hyperlink r:id="rId77" ref="H76"/>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6"/>
    <hyperlink r:id="rId104" ref="H107"/>
    <hyperlink r:id="rId105" ref="H108"/>
    <hyperlink r:id="rId106" ref="H109"/>
    <hyperlink r:id="rId107" ref="H111"/>
    <hyperlink r:id="rId108" ref="H112"/>
    <hyperlink r:id="rId109" ref="H114"/>
    <hyperlink r:id="rId110" ref="H115"/>
    <hyperlink r:id="rId111" ref="H116"/>
    <hyperlink r:id="rId112" ref="H117"/>
    <hyperlink r:id="rId113" ref="H118"/>
    <hyperlink r:id="rId114" ref="H119"/>
    <hyperlink r:id="rId115" ref="H120"/>
    <hyperlink r:id="rId116" ref="H121"/>
    <hyperlink r:id="rId117" ref="H122"/>
    <hyperlink r:id="rId118" ref="H123"/>
    <hyperlink r:id="rId119" ref="H124"/>
    <hyperlink r:id="rId120" ref="H125"/>
    <hyperlink r:id="rId121" ref="H126"/>
    <hyperlink r:id="rId122" ref="H127"/>
    <hyperlink r:id="rId123" ref="H128"/>
    <hyperlink r:id="rId124" ref="H130"/>
    <hyperlink r:id="rId125" ref="H131"/>
    <hyperlink r:id="rId126" ref="H132"/>
    <hyperlink r:id="rId127" ref="H133"/>
    <hyperlink r:id="rId128" ref="H134"/>
    <hyperlink r:id="rId129" ref="H135"/>
  </hyperlinks>
  <drawing r:id="rId130"/>
  <legacyDrawing r:id="rId131"/>
  <tableParts count="1">
    <tablePart r:id="rId13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75"/>
    <col customWidth="1" min="2" max="2" width="14.63"/>
    <col customWidth="1" min="4" max="4" width="26.75"/>
    <col customWidth="1" min="5" max="6" width="27.25"/>
    <col customWidth="1" min="7" max="7" width="24.25"/>
    <col customWidth="1" min="8" max="8" width="14.63"/>
    <col customWidth="1" min="9" max="9" width="75.13"/>
  </cols>
  <sheetData>
    <row r="1" ht="35.25" customHeight="1">
      <c r="A1" s="2" t="s">
        <v>369</v>
      </c>
      <c r="B1" s="2" t="s">
        <v>370</v>
      </c>
      <c r="C1" s="2" t="s">
        <v>371</v>
      </c>
      <c r="D1" s="2" t="s">
        <v>372</v>
      </c>
      <c r="E1" s="2" t="s">
        <v>373</v>
      </c>
      <c r="F1" s="2" t="s">
        <v>5</v>
      </c>
      <c r="G1" s="2" t="s">
        <v>374</v>
      </c>
      <c r="H1" s="2" t="s">
        <v>375</v>
      </c>
      <c r="I1" s="2" t="s">
        <v>376</v>
      </c>
    </row>
    <row r="2" ht="22.5" customHeight="1">
      <c r="A2" s="23" t="s">
        <v>377</v>
      </c>
      <c r="B2" s="26">
        <v>46104.0</v>
      </c>
      <c r="C2" s="23" t="s">
        <v>12</v>
      </c>
      <c r="D2" s="27">
        <v>0.46111111111111114</v>
      </c>
      <c r="E2" s="27">
        <v>0.36180555555555555</v>
      </c>
      <c r="G2" s="23">
        <v>381.62</v>
      </c>
      <c r="H2" s="23" t="s">
        <v>378</v>
      </c>
      <c r="I2" s="23" t="s">
        <v>379</v>
      </c>
    </row>
    <row r="3" ht="22.5" customHeight="1">
      <c r="A3" s="23" t="s">
        <v>380</v>
      </c>
      <c r="B3" s="26">
        <v>46109.0</v>
      </c>
      <c r="C3" s="23" t="s">
        <v>28</v>
      </c>
      <c r="D3" s="27">
        <v>0.38055555555555554</v>
      </c>
      <c r="E3" s="27">
        <v>0.3819444444444444</v>
      </c>
      <c r="F3" s="27"/>
      <c r="G3" s="23">
        <v>0.03</v>
      </c>
      <c r="H3" s="23" t="s">
        <v>381</v>
      </c>
      <c r="I3" s="23" t="s">
        <v>382</v>
      </c>
    </row>
    <row r="4" ht="22.5" customHeight="1">
      <c r="A4" s="23" t="s">
        <v>383</v>
      </c>
      <c r="B4" s="26">
        <v>46109.0</v>
      </c>
      <c r="C4" s="23" t="s">
        <v>28</v>
      </c>
      <c r="D4" s="27">
        <v>0.3819444444444444</v>
      </c>
      <c r="E4" s="27">
        <v>0.7645833333333333</v>
      </c>
      <c r="F4" s="27"/>
      <c r="G4" s="23">
        <v>9.19</v>
      </c>
      <c r="H4" s="23" t="s">
        <v>381</v>
      </c>
      <c r="I4" s="23" t="s">
        <v>384</v>
      </c>
    </row>
    <row r="5" ht="22.5" customHeight="1">
      <c r="A5" s="23" t="s">
        <v>385</v>
      </c>
      <c r="B5" s="26">
        <v>46111.0</v>
      </c>
      <c r="C5" s="23" t="s">
        <v>28</v>
      </c>
      <c r="D5" s="27">
        <v>0.3875</v>
      </c>
      <c r="E5" s="27">
        <v>0.8993055555555556</v>
      </c>
      <c r="G5" s="23">
        <v>276.28</v>
      </c>
      <c r="H5" s="23" t="s">
        <v>378</v>
      </c>
      <c r="I5" s="23" t="s">
        <v>386</v>
      </c>
    </row>
    <row r="6" ht="22.5" customHeight="1">
      <c r="A6" s="23" t="s">
        <v>387</v>
      </c>
      <c r="B6" s="26">
        <v>46112.0</v>
      </c>
      <c r="C6" s="23" t="s">
        <v>28</v>
      </c>
      <c r="D6" s="27">
        <v>0.37569444444444444</v>
      </c>
      <c r="E6" s="27">
        <v>0.375</v>
      </c>
      <c r="G6" s="23">
        <v>215.98</v>
      </c>
      <c r="H6" s="23" t="s">
        <v>381</v>
      </c>
      <c r="I6" s="23" t="s">
        <v>388</v>
      </c>
    </row>
    <row r="7" ht="22.5" customHeight="1">
      <c r="A7" s="23" t="s">
        <v>389</v>
      </c>
      <c r="B7" s="26">
        <v>46113.0</v>
      </c>
      <c r="C7" s="23" t="s">
        <v>28</v>
      </c>
      <c r="D7" s="27">
        <v>0.36944444444444446</v>
      </c>
      <c r="E7" s="27">
        <v>0.9111111111111111</v>
      </c>
      <c r="F7" s="27"/>
      <c r="G7" s="23">
        <v>13.0</v>
      </c>
      <c r="H7" s="23" t="s">
        <v>381</v>
      </c>
      <c r="I7" s="23" t="s">
        <v>390</v>
      </c>
    </row>
    <row r="8" ht="22.5" customHeight="1">
      <c r="A8" s="23" t="s">
        <v>391</v>
      </c>
      <c r="B8" s="26">
        <v>46113.0</v>
      </c>
      <c r="C8" s="23" t="s">
        <v>12</v>
      </c>
      <c r="D8" s="27">
        <v>0.37430555555555556</v>
      </c>
      <c r="E8" s="23" t="s">
        <v>392</v>
      </c>
      <c r="G8" s="23">
        <v>14.4</v>
      </c>
      <c r="H8" s="23" t="s">
        <v>381</v>
      </c>
      <c r="I8" s="23" t="s">
        <v>393</v>
      </c>
    </row>
    <row r="9" ht="22.5" customHeight="1">
      <c r="A9" s="23" t="s">
        <v>394</v>
      </c>
      <c r="B9" s="26">
        <v>46113.0</v>
      </c>
      <c r="C9" s="23" t="s">
        <v>228</v>
      </c>
      <c r="D9" s="27">
        <v>0.6555555555555556</v>
      </c>
      <c r="E9" s="27">
        <v>0.8729166666666667</v>
      </c>
      <c r="F9" s="27"/>
      <c r="G9" s="23">
        <v>5.21</v>
      </c>
      <c r="H9" s="23" t="s">
        <v>378</v>
      </c>
      <c r="I9" s="23" t="s">
        <v>395</v>
      </c>
    </row>
    <row r="10" ht="22.5" customHeight="1">
      <c r="A10" s="23" t="s">
        <v>396</v>
      </c>
      <c r="B10" s="26">
        <v>46114.0</v>
      </c>
      <c r="C10" s="23" t="s">
        <v>228</v>
      </c>
      <c r="D10" s="27">
        <v>0.30277777777777776</v>
      </c>
      <c r="H10" s="23" t="s">
        <v>381</v>
      </c>
      <c r="I10" s="23" t="s">
        <v>397</v>
      </c>
    </row>
    <row r="11" ht="22.5" customHeight="1">
      <c r="A11" s="23" t="s">
        <v>398</v>
      </c>
      <c r="B11" s="26">
        <v>46114.0</v>
      </c>
      <c r="C11" s="23" t="s">
        <v>228</v>
      </c>
      <c r="D11" s="27">
        <v>0.3145833333333333</v>
      </c>
      <c r="H11" s="23" t="s">
        <v>381</v>
      </c>
      <c r="I11" s="23" t="s">
        <v>397</v>
      </c>
    </row>
    <row r="12" ht="22.5" customHeight="1">
      <c r="A12" s="23" t="s">
        <v>399</v>
      </c>
      <c r="B12" s="26">
        <v>46114.0</v>
      </c>
      <c r="C12" s="23" t="s">
        <v>12</v>
      </c>
      <c r="D12" s="27">
        <v>0.3729166666666667</v>
      </c>
      <c r="E12" s="27">
        <v>0.7597222222222222</v>
      </c>
      <c r="F12" s="28">
        <v>68.0</v>
      </c>
      <c r="G12" s="23">
        <v>9.29</v>
      </c>
      <c r="H12" s="23" t="s">
        <v>381</v>
      </c>
      <c r="I12" s="23" t="s">
        <v>400</v>
      </c>
    </row>
    <row r="13" ht="22.5" customHeight="1">
      <c r="A13" s="23" t="s">
        <v>401</v>
      </c>
      <c r="B13" s="26">
        <v>46114.0</v>
      </c>
      <c r="C13" s="23" t="s">
        <v>28</v>
      </c>
      <c r="D13" s="27">
        <v>0.3729166666666667</v>
      </c>
      <c r="E13" s="27">
        <v>0.024305555555555556</v>
      </c>
      <c r="F13" s="28">
        <v>8.0</v>
      </c>
      <c r="G13" s="23">
        <v>183.62</v>
      </c>
      <c r="H13" s="23" t="s">
        <v>381</v>
      </c>
      <c r="I13" s="23" t="s">
        <v>402</v>
      </c>
    </row>
    <row r="14" ht="22.5" customHeight="1">
      <c r="A14" s="23" t="s">
        <v>403</v>
      </c>
      <c r="B14" s="26">
        <v>46114.0</v>
      </c>
      <c r="C14" s="23" t="s">
        <v>228</v>
      </c>
      <c r="D14" s="27">
        <v>0.6097222222222223</v>
      </c>
      <c r="E14" s="27">
        <v>0.7513888888888889</v>
      </c>
      <c r="F14" s="28">
        <v>58.0</v>
      </c>
      <c r="G14" s="23">
        <v>3.4</v>
      </c>
      <c r="H14" s="23" t="s">
        <v>378</v>
      </c>
      <c r="I14" s="23" t="s">
        <v>395</v>
      </c>
    </row>
    <row r="15" ht="22.5" customHeight="1">
      <c r="A15" s="23" t="s">
        <v>404</v>
      </c>
      <c r="B15" s="26">
        <v>46115.0</v>
      </c>
      <c r="C15" s="23" t="s">
        <v>228</v>
      </c>
      <c r="D15" s="27">
        <v>0.25763888888888886</v>
      </c>
      <c r="E15" s="27">
        <v>0.9465277777777777</v>
      </c>
      <c r="F15" s="28">
        <v>155.0</v>
      </c>
      <c r="G15" s="23">
        <v>16.52</v>
      </c>
      <c r="H15" s="23" t="s">
        <v>381</v>
      </c>
      <c r="I15" s="23" t="s">
        <v>395</v>
      </c>
    </row>
    <row r="16" ht="22.5" customHeight="1">
      <c r="A16" s="23" t="s">
        <v>405</v>
      </c>
      <c r="B16" s="26">
        <v>46116.0</v>
      </c>
      <c r="C16" s="23" t="s">
        <v>228</v>
      </c>
      <c r="D16" s="27">
        <v>0.35208333333333336</v>
      </c>
      <c r="E16" s="27">
        <v>0.9958333333333333</v>
      </c>
      <c r="F16" s="28">
        <v>80.0</v>
      </c>
      <c r="G16" s="23">
        <v>15.44</v>
      </c>
      <c r="H16" s="23" t="s">
        <v>381</v>
      </c>
      <c r="I16" s="23" t="s">
        <v>406</v>
      </c>
    </row>
    <row r="17" ht="22.5" customHeight="1">
      <c r="A17" s="23" t="s">
        <v>407</v>
      </c>
      <c r="B17" s="26">
        <v>46116.0</v>
      </c>
      <c r="C17" s="23" t="s">
        <v>28</v>
      </c>
      <c r="D17" s="27">
        <v>0.36527777777777776</v>
      </c>
      <c r="E17" s="27">
        <v>0.3770833333333333</v>
      </c>
      <c r="G17" s="23">
        <v>120.29</v>
      </c>
      <c r="H17" s="23" t="s">
        <v>381</v>
      </c>
      <c r="I17" s="23" t="s">
        <v>408</v>
      </c>
    </row>
    <row r="18" ht="22.5" customHeight="1">
      <c r="A18" s="23" t="s">
        <v>409</v>
      </c>
      <c r="B18" s="26">
        <v>46116.0</v>
      </c>
      <c r="C18" s="23" t="s">
        <v>12</v>
      </c>
      <c r="D18" s="27">
        <v>0.36666666666666664</v>
      </c>
      <c r="E18" s="27">
        <v>0.9597222222222223</v>
      </c>
      <c r="F18" s="28">
        <v>101.0</v>
      </c>
      <c r="G18" s="23">
        <v>14.23</v>
      </c>
      <c r="H18" s="23" t="s">
        <v>381</v>
      </c>
      <c r="I18" s="23" t="s">
        <v>410</v>
      </c>
    </row>
    <row r="19" ht="22.5" customHeight="1">
      <c r="A19" s="23" t="s">
        <v>411</v>
      </c>
      <c r="B19" s="26">
        <v>46118.0</v>
      </c>
      <c r="C19" s="23" t="s">
        <v>228</v>
      </c>
      <c r="D19" s="27">
        <v>0.26944444444444443</v>
      </c>
      <c r="E19" s="27">
        <v>0.8638888888888889</v>
      </c>
      <c r="F19" s="28">
        <v>135.0</v>
      </c>
      <c r="G19" s="23">
        <v>14.27</v>
      </c>
      <c r="H19" s="23" t="s">
        <v>381</v>
      </c>
      <c r="I19" s="23" t="s">
        <v>395</v>
      </c>
    </row>
    <row r="20" ht="22.5" customHeight="1">
      <c r="A20" s="23" t="s">
        <v>412</v>
      </c>
      <c r="B20" s="26">
        <v>46118.0</v>
      </c>
      <c r="C20" s="23" t="s">
        <v>12</v>
      </c>
      <c r="D20" s="27">
        <v>0.33819444444444446</v>
      </c>
      <c r="E20" s="27">
        <v>0.9909722222222223</v>
      </c>
      <c r="F20" s="28">
        <v>96.0</v>
      </c>
      <c r="G20" s="23">
        <v>15.67</v>
      </c>
      <c r="H20" s="23" t="s">
        <v>381</v>
      </c>
      <c r="I20" s="23" t="s">
        <v>413</v>
      </c>
    </row>
    <row r="21" ht="22.5" customHeight="1">
      <c r="A21" s="23" t="s">
        <v>414</v>
      </c>
      <c r="B21" s="26">
        <v>46118.0</v>
      </c>
      <c r="C21" s="23" t="s">
        <v>28</v>
      </c>
      <c r="D21" s="27">
        <v>0.38472222222222224</v>
      </c>
      <c r="E21" s="27">
        <v>0.7694444444444445</v>
      </c>
      <c r="F21" s="28">
        <v>41.0</v>
      </c>
      <c r="G21" s="23">
        <v>9.25</v>
      </c>
      <c r="H21" s="23" t="s">
        <v>381</v>
      </c>
      <c r="I21" s="23" t="s">
        <v>415</v>
      </c>
    </row>
    <row r="22" ht="22.5" customHeight="1">
      <c r="A22" s="23" t="s">
        <v>416</v>
      </c>
      <c r="B22" s="26">
        <v>46119.0</v>
      </c>
      <c r="C22" s="23" t="s">
        <v>12</v>
      </c>
      <c r="D22" s="27">
        <v>0.34652777777777777</v>
      </c>
      <c r="E22" s="29" t="s">
        <v>417</v>
      </c>
      <c r="F22" s="23">
        <v>114.0</v>
      </c>
      <c r="G22" s="23">
        <v>11.43</v>
      </c>
      <c r="H22" s="23" t="s">
        <v>381</v>
      </c>
      <c r="I22" s="23" t="s">
        <v>418</v>
      </c>
    </row>
    <row r="23" ht="22.5" customHeight="1">
      <c r="A23" s="23" t="s">
        <v>419</v>
      </c>
      <c r="B23" s="26">
        <v>46119.0</v>
      </c>
      <c r="C23" s="23" t="s">
        <v>228</v>
      </c>
      <c r="D23" s="27">
        <v>0.36180555555555555</v>
      </c>
      <c r="E23" s="27">
        <v>0.9173611111111111</v>
      </c>
      <c r="F23" s="28">
        <v>72.0</v>
      </c>
      <c r="G23" s="23">
        <v>13.33</v>
      </c>
      <c r="H23" s="23" t="s">
        <v>381</v>
      </c>
      <c r="I23" s="23" t="s">
        <v>420</v>
      </c>
    </row>
    <row r="24" ht="22.5" customHeight="1">
      <c r="A24" s="23" t="s">
        <v>421</v>
      </c>
      <c r="B24" s="26">
        <v>46119.0</v>
      </c>
      <c r="C24" s="23" t="s">
        <v>28</v>
      </c>
      <c r="D24" s="27">
        <v>0.4131944444444444</v>
      </c>
      <c r="E24" s="27">
        <v>0.7895833333333333</v>
      </c>
      <c r="F24" s="28">
        <v>76.0</v>
      </c>
      <c r="G24" s="23">
        <v>9.02</v>
      </c>
      <c r="H24" s="23" t="s">
        <v>378</v>
      </c>
      <c r="I24" s="23" t="s">
        <v>422</v>
      </c>
    </row>
    <row r="25" ht="22.5" customHeight="1">
      <c r="A25" s="23" t="s">
        <v>423</v>
      </c>
      <c r="B25" s="26">
        <v>46120.0</v>
      </c>
      <c r="C25" s="23" t="s">
        <v>12</v>
      </c>
      <c r="D25" s="27">
        <v>0.3638888888888889</v>
      </c>
      <c r="E25" s="27">
        <v>0.8861111111111111</v>
      </c>
      <c r="F25" s="28">
        <v>108.0</v>
      </c>
      <c r="G25" s="23">
        <v>12.53</v>
      </c>
      <c r="H25" s="23" t="s">
        <v>381</v>
      </c>
      <c r="I25" s="23" t="s">
        <v>424</v>
      </c>
    </row>
    <row r="26" ht="22.5" customHeight="1">
      <c r="A26" s="23" t="s">
        <v>425</v>
      </c>
      <c r="B26" s="26">
        <v>46120.0</v>
      </c>
      <c r="C26" s="23" t="s">
        <v>28</v>
      </c>
      <c r="D26" s="27">
        <v>0.3701388888888889</v>
      </c>
      <c r="E26" s="27">
        <v>0.7534722222222222</v>
      </c>
      <c r="F26" s="28">
        <v>37.0</v>
      </c>
      <c r="G26" s="23">
        <v>9.2</v>
      </c>
      <c r="H26" s="23" t="s">
        <v>381</v>
      </c>
      <c r="I26" s="23" t="s">
        <v>426</v>
      </c>
    </row>
    <row r="27" ht="22.5" customHeight="1">
      <c r="A27" s="23" t="s">
        <v>427</v>
      </c>
      <c r="B27" s="26">
        <v>46120.0</v>
      </c>
      <c r="C27" s="23" t="s">
        <v>228</v>
      </c>
      <c r="D27" s="27">
        <v>0.37430555555555556</v>
      </c>
      <c r="E27" s="27">
        <v>0.7715277777777778</v>
      </c>
      <c r="F27" s="28">
        <v>90.0</v>
      </c>
      <c r="G27" s="23">
        <v>9.54</v>
      </c>
      <c r="H27" s="23" t="s">
        <v>381</v>
      </c>
      <c r="I27" s="23" t="s">
        <v>428</v>
      </c>
    </row>
    <row r="28" ht="22.5" customHeight="1">
      <c r="A28" s="23" t="s">
        <v>429</v>
      </c>
      <c r="B28" s="26">
        <v>46121.0</v>
      </c>
      <c r="C28" s="23" t="s">
        <v>12</v>
      </c>
      <c r="D28" s="27">
        <v>0.35694444444444445</v>
      </c>
      <c r="E28" s="27">
        <v>0.8659722222222223</v>
      </c>
      <c r="F28" s="28">
        <v>118.0</v>
      </c>
      <c r="G28" s="23">
        <v>12.21</v>
      </c>
      <c r="H28" s="23" t="s">
        <v>381</v>
      </c>
      <c r="I28" s="23" t="s">
        <v>430</v>
      </c>
    </row>
    <row r="29" ht="22.5" customHeight="1">
      <c r="A29" s="23" t="s">
        <v>431</v>
      </c>
      <c r="B29" s="26">
        <v>46121.0</v>
      </c>
      <c r="C29" s="23" t="s">
        <v>228</v>
      </c>
      <c r="D29" s="27">
        <v>0.37083333333333335</v>
      </c>
      <c r="E29" s="27">
        <v>0.925</v>
      </c>
      <c r="F29" s="28">
        <v>103.0</v>
      </c>
      <c r="G29" s="23">
        <v>13.29</v>
      </c>
      <c r="H29" s="23" t="s">
        <v>381</v>
      </c>
      <c r="I29" s="23" t="s">
        <v>395</v>
      </c>
    </row>
    <row r="30" ht="22.5" customHeight="1">
      <c r="A30" s="23" t="s">
        <v>432</v>
      </c>
      <c r="B30" s="26">
        <v>46121.0</v>
      </c>
      <c r="C30" s="23" t="s">
        <v>28</v>
      </c>
      <c r="D30" s="27">
        <v>0.37777777777777777</v>
      </c>
      <c r="E30" s="27">
        <v>0.02361111111111111</v>
      </c>
      <c r="G30" s="23">
        <v>15.5</v>
      </c>
      <c r="H30" s="23" t="s">
        <v>381</v>
      </c>
      <c r="I30" s="23" t="s">
        <v>433</v>
      </c>
    </row>
    <row r="31" ht="22.5" customHeight="1">
      <c r="A31" s="23" t="s">
        <v>434</v>
      </c>
      <c r="B31" s="26">
        <v>46122.0</v>
      </c>
      <c r="C31" s="23" t="s">
        <v>228</v>
      </c>
      <c r="D31" s="27">
        <v>0.34375</v>
      </c>
      <c r="E31" s="27">
        <v>0.8597222222222223</v>
      </c>
      <c r="F31" s="28">
        <v>72.0</v>
      </c>
      <c r="G31" s="23">
        <v>12.38</v>
      </c>
      <c r="H31" s="23" t="s">
        <v>381</v>
      </c>
      <c r="I31" s="23" t="s">
        <v>420</v>
      </c>
    </row>
    <row r="32" ht="22.5" customHeight="1">
      <c r="A32" s="23" t="s">
        <v>435</v>
      </c>
      <c r="B32" s="26">
        <v>46122.0</v>
      </c>
      <c r="C32" s="23" t="s">
        <v>12</v>
      </c>
      <c r="D32" s="27">
        <v>0.38680555555555557</v>
      </c>
      <c r="E32" s="27">
        <v>0.8791666666666667</v>
      </c>
      <c r="F32" s="28">
        <v>94.0</v>
      </c>
      <c r="G32" s="23">
        <v>11.83</v>
      </c>
      <c r="H32" s="23" t="s">
        <v>378</v>
      </c>
      <c r="I32" s="23" t="s">
        <v>436</v>
      </c>
    </row>
    <row r="33" ht="22.5" customHeight="1">
      <c r="A33" s="23" t="s">
        <v>437</v>
      </c>
      <c r="B33" s="26">
        <v>46122.0</v>
      </c>
      <c r="C33" s="23" t="s">
        <v>28</v>
      </c>
      <c r="D33" s="27">
        <v>0.3902777777777778</v>
      </c>
      <c r="E33" s="27">
        <v>0.8986111111111111</v>
      </c>
      <c r="F33" s="28">
        <v>30.0</v>
      </c>
      <c r="G33" s="23">
        <v>12.2</v>
      </c>
      <c r="H33" s="23" t="s">
        <v>378</v>
      </c>
      <c r="I33" s="23" t="s">
        <v>438</v>
      </c>
    </row>
    <row r="34" ht="22.5" customHeight="1">
      <c r="A34" s="23" t="s">
        <v>439</v>
      </c>
      <c r="B34" s="26">
        <v>46123.0</v>
      </c>
      <c r="C34" s="23" t="s">
        <v>28</v>
      </c>
      <c r="D34" s="27">
        <v>0.35347222222222224</v>
      </c>
      <c r="H34" s="23" t="s">
        <v>381</v>
      </c>
      <c r="I34" s="23" t="s">
        <v>438</v>
      </c>
    </row>
    <row r="35" ht="22.5" customHeight="1">
      <c r="A35" s="23" t="s">
        <v>440</v>
      </c>
      <c r="B35" s="26">
        <v>46123.0</v>
      </c>
      <c r="C35" s="23" t="s">
        <v>228</v>
      </c>
      <c r="D35" s="27">
        <v>0.4340277777777778</v>
      </c>
      <c r="H35" s="23" t="s">
        <v>378</v>
      </c>
      <c r="I35" s="23" t="s">
        <v>395</v>
      </c>
    </row>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5"/>
    <col customWidth="1" min="2" max="2" width="19.63"/>
    <col customWidth="1" min="3" max="3" width="23.0"/>
    <col customWidth="1" min="4" max="4" width="36.0"/>
    <col customWidth="1" min="5" max="5" width="36.63"/>
    <col customWidth="1" min="6" max="6" width="27.5"/>
    <col customWidth="1" min="7" max="7" width="55.75"/>
    <col customWidth="1" min="8" max="8" width="84.63"/>
  </cols>
  <sheetData>
    <row r="1" ht="33.0" customHeight="1">
      <c r="A1" s="30" t="s">
        <v>0</v>
      </c>
      <c r="B1" s="30" t="s">
        <v>1</v>
      </c>
      <c r="C1" s="30" t="s">
        <v>2</v>
      </c>
      <c r="D1" s="30" t="s">
        <v>3</v>
      </c>
      <c r="E1" s="30" t="s">
        <v>4</v>
      </c>
      <c r="F1" s="30" t="s">
        <v>5</v>
      </c>
      <c r="G1" s="30" t="s">
        <v>6</v>
      </c>
      <c r="H1" s="30" t="s">
        <v>7</v>
      </c>
    </row>
    <row r="2" ht="33.0" customHeight="1">
      <c r="A2" s="31">
        <v>1.0</v>
      </c>
      <c r="B2" s="32">
        <v>46105.0</v>
      </c>
      <c r="C2" s="33" t="s">
        <v>441</v>
      </c>
      <c r="D2" s="33" t="s">
        <v>442</v>
      </c>
      <c r="E2" s="33" t="s">
        <v>443</v>
      </c>
      <c r="F2" s="33">
        <v>0.0</v>
      </c>
      <c r="G2" s="34"/>
      <c r="H2" s="34"/>
    </row>
    <row r="3">
      <c r="A3" s="31">
        <v>2.0</v>
      </c>
      <c r="B3" s="35">
        <v>46105.0</v>
      </c>
      <c r="C3" s="36" t="s">
        <v>444</v>
      </c>
      <c r="D3" s="36" t="s">
        <v>445</v>
      </c>
      <c r="E3" s="36" t="s">
        <v>446</v>
      </c>
      <c r="F3" s="36">
        <v>52.0</v>
      </c>
      <c r="H3" s="37" t="s">
        <v>447</v>
      </c>
    </row>
    <row r="4">
      <c r="A4" s="31">
        <v>3.0</v>
      </c>
      <c r="B4" s="35">
        <v>46105.0</v>
      </c>
      <c r="C4" s="36" t="s">
        <v>448</v>
      </c>
      <c r="D4" s="36" t="s">
        <v>449</v>
      </c>
      <c r="E4" s="36" t="s">
        <v>450</v>
      </c>
      <c r="F4" s="36">
        <v>35.0</v>
      </c>
      <c r="H4" s="37" t="s">
        <v>451</v>
      </c>
    </row>
    <row r="5">
      <c r="A5" s="31">
        <v>4.0</v>
      </c>
      <c r="B5" s="35">
        <v>46105.0</v>
      </c>
      <c r="C5" s="36" t="s">
        <v>452</v>
      </c>
      <c r="D5" s="36" t="s">
        <v>453</v>
      </c>
      <c r="E5" s="36" t="s">
        <v>454</v>
      </c>
      <c r="F5" s="36">
        <v>35.0</v>
      </c>
      <c r="H5" s="37" t="s">
        <v>455</v>
      </c>
    </row>
    <row r="6">
      <c r="A6" s="31">
        <v>5.0</v>
      </c>
      <c r="B6" s="35">
        <v>46105.0</v>
      </c>
      <c r="C6" s="36" t="s">
        <v>441</v>
      </c>
      <c r="D6" s="36" t="s">
        <v>456</v>
      </c>
      <c r="E6" s="36" t="s">
        <v>457</v>
      </c>
      <c r="F6" s="36">
        <v>35.0</v>
      </c>
      <c r="H6" s="37" t="s">
        <v>458</v>
      </c>
    </row>
    <row r="7">
      <c r="A7" s="31">
        <v>6.0</v>
      </c>
      <c r="B7" s="35">
        <v>46105.0</v>
      </c>
      <c r="C7" s="36" t="s">
        <v>459</v>
      </c>
      <c r="D7" s="36" t="s">
        <v>460</v>
      </c>
      <c r="E7" s="36" t="s">
        <v>461</v>
      </c>
      <c r="F7" s="36">
        <v>35.0</v>
      </c>
      <c r="H7" s="37" t="s">
        <v>462</v>
      </c>
    </row>
    <row r="8">
      <c r="A8" s="31">
        <v>7.0</v>
      </c>
      <c r="B8" s="35">
        <v>46105.0</v>
      </c>
      <c r="C8" s="36" t="s">
        <v>463</v>
      </c>
      <c r="D8" s="36" t="s">
        <v>464</v>
      </c>
      <c r="E8" s="36" t="s">
        <v>465</v>
      </c>
      <c r="F8" s="36">
        <v>35.0</v>
      </c>
      <c r="H8" s="37" t="s">
        <v>466</v>
      </c>
    </row>
    <row r="9">
      <c r="A9" s="31">
        <v>8.0</v>
      </c>
      <c r="B9" s="35">
        <v>46105.0</v>
      </c>
      <c r="C9" s="36" t="s">
        <v>463</v>
      </c>
      <c r="D9" s="36" t="s">
        <v>464</v>
      </c>
      <c r="E9" s="36" t="s">
        <v>465</v>
      </c>
      <c r="F9" s="36">
        <v>35.0</v>
      </c>
      <c r="H9" s="37" t="s">
        <v>467</v>
      </c>
    </row>
    <row r="10">
      <c r="A10" s="31">
        <v>9.0</v>
      </c>
      <c r="B10" s="35">
        <v>46105.0</v>
      </c>
      <c r="C10" s="36" t="s">
        <v>468</v>
      </c>
      <c r="D10" s="36" t="s">
        <v>469</v>
      </c>
      <c r="E10" s="36" t="s">
        <v>470</v>
      </c>
      <c r="F10" s="36">
        <v>0.0</v>
      </c>
      <c r="H10" s="37" t="s">
        <v>471</v>
      </c>
    </row>
    <row r="11">
      <c r="A11" s="31">
        <v>10.0</v>
      </c>
      <c r="B11" s="35">
        <v>46105.0</v>
      </c>
      <c r="C11" s="36" t="s">
        <v>472</v>
      </c>
      <c r="D11" s="36" t="s">
        <v>473</v>
      </c>
      <c r="E11" s="36" t="s">
        <v>474</v>
      </c>
      <c r="F11" s="36">
        <v>0.0</v>
      </c>
      <c r="H11" s="38" t="s">
        <v>475</v>
      </c>
    </row>
    <row r="12">
      <c r="A12" s="31">
        <v>11.0</v>
      </c>
      <c r="B12" s="35">
        <v>46105.0</v>
      </c>
      <c r="C12" s="36" t="s">
        <v>472</v>
      </c>
      <c r="D12" s="36" t="s">
        <v>476</v>
      </c>
      <c r="E12" s="36" t="s">
        <v>477</v>
      </c>
      <c r="F12" s="36">
        <v>21.0</v>
      </c>
    </row>
    <row r="13">
      <c r="A13" s="31">
        <v>12.0</v>
      </c>
      <c r="B13" s="35">
        <v>46106.0</v>
      </c>
      <c r="C13" s="36" t="s">
        <v>478</v>
      </c>
      <c r="D13" s="36" t="s">
        <v>278</v>
      </c>
      <c r="E13" s="36" t="s">
        <v>479</v>
      </c>
      <c r="F13" s="36">
        <v>10.0</v>
      </c>
      <c r="G13" s="36" t="s">
        <v>480</v>
      </c>
      <c r="H13" s="37" t="s">
        <v>481</v>
      </c>
    </row>
    <row r="14">
      <c r="A14" s="31">
        <v>13.0</v>
      </c>
      <c r="B14" s="35">
        <v>46106.0</v>
      </c>
      <c r="C14" s="36" t="s">
        <v>459</v>
      </c>
      <c r="D14" s="36" t="s">
        <v>460</v>
      </c>
      <c r="E14" s="36" t="s">
        <v>461</v>
      </c>
      <c r="F14" s="36">
        <v>35.0</v>
      </c>
      <c r="H14" s="37" t="s">
        <v>482</v>
      </c>
    </row>
    <row r="15">
      <c r="A15" s="31">
        <v>14.0</v>
      </c>
      <c r="B15" s="35">
        <v>46106.0</v>
      </c>
      <c r="C15" s="36" t="s">
        <v>459</v>
      </c>
      <c r="D15" s="36" t="s">
        <v>460</v>
      </c>
      <c r="E15" s="36" t="s">
        <v>461</v>
      </c>
      <c r="F15" s="36">
        <v>35.0</v>
      </c>
      <c r="H15" s="37" t="s">
        <v>483</v>
      </c>
    </row>
    <row r="16">
      <c r="A16" s="31">
        <v>15.0</v>
      </c>
      <c r="B16" s="35">
        <v>46106.0</v>
      </c>
      <c r="C16" s="36" t="s">
        <v>441</v>
      </c>
      <c r="D16" s="36" t="s">
        <v>484</v>
      </c>
      <c r="E16" s="36" t="s">
        <v>457</v>
      </c>
      <c r="F16" s="36">
        <v>35.0</v>
      </c>
      <c r="G16" s="36" t="s">
        <v>485</v>
      </c>
      <c r="H16" s="37" t="s">
        <v>486</v>
      </c>
    </row>
    <row r="17">
      <c r="A17" s="31">
        <v>16.0</v>
      </c>
      <c r="B17" s="35">
        <v>46106.0</v>
      </c>
      <c r="C17" s="36" t="s">
        <v>441</v>
      </c>
      <c r="D17" s="36" t="s">
        <v>484</v>
      </c>
      <c r="E17" s="36" t="s">
        <v>457</v>
      </c>
      <c r="F17" s="36">
        <v>35.0</v>
      </c>
      <c r="G17" s="36" t="s">
        <v>487</v>
      </c>
      <c r="H17" s="37" t="s">
        <v>488</v>
      </c>
    </row>
    <row r="18">
      <c r="A18" s="31">
        <v>17.0</v>
      </c>
      <c r="B18" s="35">
        <v>46106.0</v>
      </c>
      <c r="C18" s="36" t="s">
        <v>463</v>
      </c>
      <c r="D18" s="36" t="s">
        <v>489</v>
      </c>
      <c r="E18" s="36" t="s">
        <v>490</v>
      </c>
      <c r="F18" s="36">
        <v>10.0</v>
      </c>
      <c r="G18" s="36" t="s">
        <v>491</v>
      </c>
      <c r="H18" s="36" t="s">
        <v>492</v>
      </c>
    </row>
    <row r="19">
      <c r="A19" s="31">
        <v>18.0</v>
      </c>
      <c r="B19" s="35">
        <v>46106.0</v>
      </c>
      <c r="C19" s="36" t="s">
        <v>463</v>
      </c>
      <c r="D19" s="36" t="s">
        <v>489</v>
      </c>
      <c r="E19" s="36" t="s">
        <v>490</v>
      </c>
      <c r="F19" s="36">
        <v>10.0</v>
      </c>
      <c r="G19" s="36" t="s">
        <v>491</v>
      </c>
      <c r="H19" s="36" t="s">
        <v>493</v>
      </c>
    </row>
    <row r="20">
      <c r="A20" s="31">
        <v>19.0</v>
      </c>
      <c r="B20" s="35">
        <v>46106.0</v>
      </c>
      <c r="C20" s="36" t="s">
        <v>452</v>
      </c>
      <c r="D20" s="36" t="s">
        <v>494</v>
      </c>
      <c r="E20" s="36" t="s">
        <v>454</v>
      </c>
      <c r="F20" s="36">
        <v>35.0</v>
      </c>
      <c r="H20" s="37" t="s">
        <v>495</v>
      </c>
    </row>
    <row r="21">
      <c r="A21" s="31">
        <v>20.0</v>
      </c>
      <c r="B21" s="35">
        <v>46106.0</v>
      </c>
      <c r="C21" s="36" t="s">
        <v>452</v>
      </c>
      <c r="D21" s="36" t="s">
        <v>496</v>
      </c>
      <c r="E21" s="36" t="s">
        <v>454</v>
      </c>
      <c r="F21" s="36">
        <v>35.0</v>
      </c>
      <c r="H21" s="37" t="s">
        <v>497</v>
      </c>
    </row>
    <row r="22">
      <c r="A22" s="31">
        <v>21.0</v>
      </c>
      <c r="B22" s="35">
        <v>46106.0</v>
      </c>
      <c r="C22" s="36" t="s">
        <v>444</v>
      </c>
      <c r="D22" s="36" t="s">
        <v>278</v>
      </c>
      <c r="E22" s="36" t="s">
        <v>498</v>
      </c>
      <c r="F22" s="36">
        <v>5.0</v>
      </c>
      <c r="G22" s="36" t="s">
        <v>499</v>
      </c>
      <c r="H22" s="37" t="s">
        <v>500</v>
      </c>
    </row>
    <row r="23">
      <c r="A23" s="31">
        <v>22.0</v>
      </c>
      <c r="B23" s="35">
        <v>46106.0</v>
      </c>
      <c r="C23" s="36" t="s">
        <v>468</v>
      </c>
      <c r="D23" s="36" t="s">
        <v>469</v>
      </c>
      <c r="E23" s="36" t="s">
        <v>501</v>
      </c>
      <c r="F23" s="36">
        <v>22.0</v>
      </c>
      <c r="H23" s="37" t="s">
        <v>502</v>
      </c>
    </row>
    <row r="24">
      <c r="A24" s="31">
        <v>23.0</v>
      </c>
      <c r="B24" s="35">
        <v>46106.0</v>
      </c>
      <c r="C24" s="36" t="s">
        <v>472</v>
      </c>
      <c r="D24" s="36" t="s">
        <v>449</v>
      </c>
      <c r="E24" s="36" t="s">
        <v>503</v>
      </c>
      <c r="F24" s="36">
        <v>45.0</v>
      </c>
      <c r="H24" s="37" t="s">
        <v>504</v>
      </c>
    </row>
    <row r="25">
      <c r="A25" s="31">
        <v>24.0</v>
      </c>
      <c r="B25" s="35">
        <v>46106.0</v>
      </c>
      <c r="C25" s="36" t="s">
        <v>448</v>
      </c>
      <c r="D25" s="36" t="s">
        <v>505</v>
      </c>
      <c r="E25" s="36" t="s">
        <v>506</v>
      </c>
      <c r="F25" s="36">
        <v>40.0</v>
      </c>
      <c r="G25" s="36" t="s">
        <v>507</v>
      </c>
      <c r="H25" s="36" t="s">
        <v>508</v>
      </c>
    </row>
    <row r="26">
      <c r="A26" s="31">
        <v>25.0</v>
      </c>
      <c r="B26" s="35">
        <v>46107.0</v>
      </c>
      <c r="C26" s="36" t="s">
        <v>441</v>
      </c>
      <c r="D26" s="36" t="s">
        <v>484</v>
      </c>
      <c r="E26" s="36" t="s">
        <v>509</v>
      </c>
      <c r="F26" s="36">
        <v>45.0</v>
      </c>
      <c r="G26" s="36" t="s">
        <v>510</v>
      </c>
      <c r="H26" s="37" t="s">
        <v>511</v>
      </c>
    </row>
    <row r="27">
      <c r="A27" s="31">
        <v>26.0</v>
      </c>
      <c r="B27" s="35">
        <v>46107.0</v>
      </c>
      <c r="C27" s="36" t="s">
        <v>463</v>
      </c>
      <c r="E27" s="36" t="s">
        <v>512</v>
      </c>
      <c r="F27" s="36">
        <v>38.0</v>
      </c>
    </row>
    <row r="28">
      <c r="A28" s="31">
        <v>27.0</v>
      </c>
      <c r="B28" s="35">
        <v>46107.0</v>
      </c>
      <c r="C28" s="36" t="s">
        <v>463</v>
      </c>
      <c r="D28" s="36" t="s">
        <v>513</v>
      </c>
      <c r="E28" s="36" t="s">
        <v>512</v>
      </c>
      <c r="F28" s="36">
        <v>38.0</v>
      </c>
      <c r="H28" s="36" t="s">
        <v>514</v>
      </c>
    </row>
    <row r="29">
      <c r="A29" s="31">
        <v>28.0</v>
      </c>
      <c r="B29" s="35">
        <v>46107.0</v>
      </c>
      <c r="C29" s="36" t="s">
        <v>452</v>
      </c>
      <c r="D29" s="36" t="s">
        <v>515</v>
      </c>
      <c r="E29" s="36" t="s">
        <v>454</v>
      </c>
      <c r="F29" s="36">
        <v>35.0</v>
      </c>
      <c r="H29" s="37" t="s">
        <v>516</v>
      </c>
    </row>
    <row r="30">
      <c r="A30" s="31">
        <v>29.0</v>
      </c>
      <c r="B30" s="35">
        <v>46107.0</v>
      </c>
      <c r="C30" s="36" t="s">
        <v>478</v>
      </c>
      <c r="D30" s="36" t="s">
        <v>278</v>
      </c>
      <c r="E30" s="36" t="s">
        <v>517</v>
      </c>
      <c r="F30" s="36">
        <v>35.0</v>
      </c>
      <c r="G30" s="36" t="s">
        <v>518</v>
      </c>
      <c r="H30" s="37" t="s">
        <v>519</v>
      </c>
    </row>
    <row r="31">
      <c r="A31" s="31">
        <v>30.0</v>
      </c>
      <c r="B31" s="35">
        <v>46107.0</v>
      </c>
      <c r="C31" s="36" t="s">
        <v>520</v>
      </c>
      <c r="D31" s="36" t="s">
        <v>286</v>
      </c>
      <c r="E31" s="36" t="s">
        <v>521</v>
      </c>
      <c r="F31" s="36">
        <v>45.0</v>
      </c>
    </row>
    <row r="32">
      <c r="A32" s="31">
        <v>31.0</v>
      </c>
      <c r="B32" s="35">
        <v>46107.0</v>
      </c>
      <c r="C32" s="36" t="s">
        <v>459</v>
      </c>
      <c r="D32" s="36" t="s">
        <v>522</v>
      </c>
      <c r="E32" s="36" t="s">
        <v>523</v>
      </c>
      <c r="F32" s="36">
        <v>0.0</v>
      </c>
      <c r="G32" s="36" t="s">
        <v>524</v>
      </c>
      <c r="H32" s="36" t="s">
        <v>525</v>
      </c>
    </row>
    <row r="33">
      <c r="A33" s="31">
        <v>32.0</v>
      </c>
      <c r="B33" s="35">
        <v>46107.0</v>
      </c>
      <c r="C33" s="36" t="s">
        <v>468</v>
      </c>
      <c r="D33" s="36" t="s">
        <v>300</v>
      </c>
      <c r="E33" s="36" t="s">
        <v>479</v>
      </c>
      <c r="F33" s="36">
        <v>10.0</v>
      </c>
      <c r="H33" s="37" t="s">
        <v>526</v>
      </c>
    </row>
    <row r="34">
      <c r="A34" s="31">
        <v>33.0</v>
      </c>
      <c r="B34" s="35">
        <v>46107.0</v>
      </c>
      <c r="C34" s="36" t="s">
        <v>472</v>
      </c>
      <c r="D34" s="36" t="s">
        <v>449</v>
      </c>
      <c r="E34" s="36" t="s">
        <v>527</v>
      </c>
      <c r="F34" s="36">
        <v>35.0</v>
      </c>
      <c r="H34" s="37" t="s">
        <v>528</v>
      </c>
    </row>
    <row r="35">
      <c r="A35" s="31">
        <v>34.0</v>
      </c>
      <c r="B35" s="35">
        <v>46107.0</v>
      </c>
      <c r="C35" s="36" t="s">
        <v>448</v>
      </c>
      <c r="D35" s="36" t="s">
        <v>529</v>
      </c>
      <c r="E35" s="36" t="s">
        <v>530</v>
      </c>
      <c r="F35" s="36">
        <v>36.0</v>
      </c>
      <c r="H35" s="36" t="s">
        <v>531</v>
      </c>
    </row>
    <row r="36">
      <c r="A36" s="31">
        <v>35.0</v>
      </c>
      <c r="B36" s="35">
        <v>46107.0</v>
      </c>
      <c r="C36" s="36" t="s">
        <v>444</v>
      </c>
      <c r="D36" s="36" t="s">
        <v>278</v>
      </c>
      <c r="E36" s="36" t="s">
        <v>532</v>
      </c>
      <c r="F36" s="36">
        <v>37.0</v>
      </c>
      <c r="H36" s="37" t="s">
        <v>533</v>
      </c>
    </row>
    <row r="37">
      <c r="A37" s="31">
        <v>36.0</v>
      </c>
      <c r="B37" s="35">
        <v>46078.0</v>
      </c>
      <c r="C37" s="36" t="s">
        <v>444</v>
      </c>
      <c r="D37" s="36" t="s">
        <v>278</v>
      </c>
      <c r="E37" s="36" t="s">
        <v>532</v>
      </c>
      <c r="F37" s="36">
        <v>37.0</v>
      </c>
      <c r="G37" s="36" t="s">
        <v>534</v>
      </c>
      <c r="H37" s="37" t="s">
        <v>535</v>
      </c>
    </row>
    <row r="38">
      <c r="A38" s="31">
        <v>37.0</v>
      </c>
      <c r="B38" s="35">
        <v>46108.0</v>
      </c>
      <c r="C38" s="36" t="s">
        <v>459</v>
      </c>
      <c r="D38" s="36" t="s">
        <v>536</v>
      </c>
      <c r="E38" s="36" t="s">
        <v>457</v>
      </c>
      <c r="F38" s="36">
        <v>35.0</v>
      </c>
      <c r="H38" s="37" t="s">
        <v>537</v>
      </c>
    </row>
    <row r="39">
      <c r="A39" s="31">
        <v>38.0</v>
      </c>
      <c r="B39" s="35">
        <v>46108.0</v>
      </c>
      <c r="C39" s="36" t="s">
        <v>452</v>
      </c>
      <c r="D39" s="36" t="s">
        <v>538</v>
      </c>
      <c r="E39" s="36" t="s">
        <v>454</v>
      </c>
      <c r="F39" s="36">
        <v>35.0</v>
      </c>
      <c r="H39" s="37" t="s">
        <v>539</v>
      </c>
    </row>
    <row r="40">
      <c r="A40" s="31">
        <v>39.0</v>
      </c>
      <c r="B40" s="35">
        <v>46108.0</v>
      </c>
      <c r="C40" s="36" t="s">
        <v>463</v>
      </c>
      <c r="D40" s="36" t="s">
        <v>540</v>
      </c>
      <c r="E40" s="36" t="s">
        <v>541</v>
      </c>
      <c r="F40" s="36">
        <v>35.0</v>
      </c>
      <c r="H40" s="36" t="s">
        <v>542</v>
      </c>
    </row>
    <row r="41">
      <c r="A41" s="31">
        <v>40.0</v>
      </c>
      <c r="B41" s="35">
        <v>46108.0</v>
      </c>
      <c r="C41" s="36" t="s">
        <v>463</v>
      </c>
      <c r="D41" s="36" t="s">
        <v>540</v>
      </c>
      <c r="E41" s="36" t="s">
        <v>541</v>
      </c>
      <c r="F41" s="36">
        <v>35.0</v>
      </c>
      <c r="H41" s="36" t="s">
        <v>543</v>
      </c>
    </row>
    <row r="42">
      <c r="A42" s="31">
        <v>41.0</v>
      </c>
      <c r="B42" s="35">
        <v>46108.0</v>
      </c>
      <c r="C42" s="36" t="s">
        <v>472</v>
      </c>
      <c r="D42" s="36" t="s">
        <v>449</v>
      </c>
      <c r="E42" s="36" t="s">
        <v>544</v>
      </c>
      <c r="F42" s="36">
        <v>58.0</v>
      </c>
      <c r="H42" s="37" t="s">
        <v>545</v>
      </c>
    </row>
    <row r="43">
      <c r="A43" s="31">
        <v>42.0</v>
      </c>
      <c r="B43" s="35">
        <v>46108.0</v>
      </c>
      <c r="C43" s="36" t="s">
        <v>520</v>
      </c>
      <c r="D43" s="36" t="s">
        <v>286</v>
      </c>
      <c r="E43" s="36" t="s">
        <v>546</v>
      </c>
      <c r="F43" s="36">
        <v>62.0</v>
      </c>
      <c r="G43" s="36" t="s">
        <v>547</v>
      </c>
      <c r="H43" s="37" t="s">
        <v>548</v>
      </c>
    </row>
    <row r="44">
      <c r="A44" s="31">
        <v>43.0</v>
      </c>
      <c r="B44" s="35">
        <v>46108.0</v>
      </c>
      <c r="C44" s="36" t="s">
        <v>468</v>
      </c>
      <c r="D44" s="36" t="s">
        <v>300</v>
      </c>
      <c r="E44" s="36" t="s">
        <v>549</v>
      </c>
      <c r="F44" s="36">
        <v>15.0</v>
      </c>
      <c r="H44" s="37" t="s">
        <v>550</v>
      </c>
    </row>
    <row r="45">
      <c r="A45" s="31">
        <v>44.0</v>
      </c>
      <c r="B45" s="35">
        <v>46108.0</v>
      </c>
      <c r="C45" s="36" t="s">
        <v>441</v>
      </c>
      <c r="D45" s="36" t="s">
        <v>536</v>
      </c>
      <c r="E45" s="36" t="s">
        <v>457</v>
      </c>
      <c r="F45" s="36">
        <v>35.0</v>
      </c>
      <c r="H45" s="37" t="s">
        <v>551</v>
      </c>
    </row>
    <row r="46">
      <c r="A46" s="31">
        <v>45.0</v>
      </c>
      <c r="B46" s="35">
        <v>46108.0</v>
      </c>
      <c r="C46" s="36" t="s">
        <v>444</v>
      </c>
      <c r="D46" s="36" t="s">
        <v>278</v>
      </c>
      <c r="E46" s="36" t="s">
        <v>552</v>
      </c>
      <c r="F46" s="36">
        <v>20.0</v>
      </c>
      <c r="G46" s="36" t="s">
        <v>553</v>
      </c>
      <c r="H46" s="37" t="s">
        <v>554</v>
      </c>
    </row>
    <row r="47">
      <c r="A47" s="31">
        <v>46.0</v>
      </c>
      <c r="B47" s="35">
        <v>46108.0</v>
      </c>
      <c r="C47" s="36" t="s">
        <v>448</v>
      </c>
      <c r="D47" s="36" t="s">
        <v>555</v>
      </c>
      <c r="E47" s="36" t="s">
        <v>556</v>
      </c>
      <c r="F47" s="36">
        <v>37.0</v>
      </c>
      <c r="H47" s="37" t="s">
        <v>557</v>
      </c>
    </row>
    <row r="48">
      <c r="A48" s="31">
        <v>47.0</v>
      </c>
      <c r="B48" s="35">
        <v>46109.0</v>
      </c>
      <c r="C48" s="36" t="s">
        <v>441</v>
      </c>
      <c r="D48" s="36" t="s">
        <v>536</v>
      </c>
      <c r="E48" s="36" t="s">
        <v>558</v>
      </c>
      <c r="F48" s="36">
        <v>38.0</v>
      </c>
      <c r="G48" s="36" t="s">
        <v>559</v>
      </c>
      <c r="H48" s="36" t="s">
        <v>560</v>
      </c>
    </row>
    <row r="49">
      <c r="A49" s="31">
        <v>48.0</v>
      </c>
      <c r="B49" s="35">
        <v>46109.0</v>
      </c>
      <c r="C49" s="36" t="s">
        <v>459</v>
      </c>
      <c r="D49" s="36" t="s">
        <v>561</v>
      </c>
      <c r="E49" s="36" t="s">
        <v>562</v>
      </c>
      <c r="F49" s="36">
        <v>35.0</v>
      </c>
      <c r="H49" s="37" t="s">
        <v>563</v>
      </c>
    </row>
    <row r="50">
      <c r="A50" s="31">
        <v>49.0</v>
      </c>
      <c r="B50" s="35">
        <v>46109.0</v>
      </c>
      <c r="C50" s="36" t="s">
        <v>452</v>
      </c>
      <c r="D50" s="36" t="s">
        <v>564</v>
      </c>
      <c r="E50" s="36" t="s">
        <v>565</v>
      </c>
      <c r="F50" s="36">
        <v>27.0</v>
      </c>
      <c r="H50" s="37" t="s">
        <v>566</v>
      </c>
    </row>
    <row r="51">
      <c r="A51" s="31">
        <v>50.0</v>
      </c>
      <c r="B51" s="35">
        <v>46109.0</v>
      </c>
      <c r="C51" s="36" t="s">
        <v>520</v>
      </c>
      <c r="D51" s="36" t="s">
        <v>219</v>
      </c>
      <c r="E51" s="36" t="s">
        <v>567</v>
      </c>
      <c r="F51" s="36">
        <v>52.0</v>
      </c>
      <c r="G51" s="36" t="s">
        <v>568</v>
      </c>
      <c r="H51" s="37" t="s">
        <v>569</v>
      </c>
    </row>
    <row r="52">
      <c r="A52" s="31">
        <v>51.0</v>
      </c>
      <c r="B52" s="35">
        <v>46109.0</v>
      </c>
      <c r="C52" s="36" t="s">
        <v>468</v>
      </c>
      <c r="D52" s="36" t="s">
        <v>300</v>
      </c>
      <c r="E52" s="36" t="s">
        <v>570</v>
      </c>
      <c r="F52" s="36">
        <v>13.0</v>
      </c>
      <c r="H52" s="37" t="s">
        <v>571</v>
      </c>
    </row>
    <row r="53">
      <c r="A53" s="31">
        <v>52.0</v>
      </c>
      <c r="B53" s="35">
        <v>46109.0</v>
      </c>
      <c r="C53" s="36" t="s">
        <v>572</v>
      </c>
      <c r="D53" s="36" t="s">
        <v>573</v>
      </c>
      <c r="E53" s="36" t="s">
        <v>574</v>
      </c>
      <c r="F53" s="36">
        <v>0.0</v>
      </c>
      <c r="H53" s="36" t="s">
        <v>575</v>
      </c>
    </row>
    <row r="54">
      <c r="A54" s="31">
        <v>53.0</v>
      </c>
      <c r="B54" s="35">
        <v>46109.0</v>
      </c>
      <c r="C54" s="36" t="s">
        <v>448</v>
      </c>
      <c r="D54" s="36" t="s">
        <v>555</v>
      </c>
      <c r="E54" s="36" t="s">
        <v>556</v>
      </c>
      <c r="F54" s="36">
        <v>37.0</v>
      </c>
      <c r="H54" s="37" t="s">
        <v>576</v>
      </c>
    </row>
    <row r="55">
      <c r="A55" s="31">
        <v>54.0</v>
      </c>
      <c r="B55" s="35">
        <v>46111.0</v>
      </c>
      <c r="C55" s="36" t="s">
        <v>459</v>
      </c>
      <c r="D55" s="36" t="s">
        <v>577</v>
      </c>
      <c r="E55" s="36" t="s">
        <v>578</v>
      </c>
      <c r="F55" s="36">
        <v>7.0</v>
      </c>
      <c r="G55" s="36" t="s">
        <v>579</v>
      </c>
      <c r="H55" s="37" t="s">
        <v>580</v>
      </c>
    </row>
    <row r="56">
      <c r="A56" s="31">
        <v>55.0</v>
      </c>
      <c r="B56" s="35">
        <v>46111.0</v>
      </c>
      <c r="C56" s="36" t="s">
        <v>463</v>
      </c>
      <c r="D56" s="36" t="s">
        <v>300</v>
      </c>
      <c r="E56" s="36" t="s">
        <v>581</v>
      </c>
      <c r="F56" s="36">
        <v>40.0</v>
      </c>
      <c r="G56" s="36" t="s">
        <v>582</v>
      </c>
      <c r="H56" s="37" t="s">
        <v>583</v>
      </c>
    </row>
    <row r="57">
      <c r="A57" s="31">
        <v>56.0</v>
      </c>
      <c r="B57" s="35">
        <v>46111.0</v>
      </c>
      <c r="C57" s="36" t="s">
        <v>463</v>
      </c>
      <c r="D57" s="36" t="s">
        <v>300</v>
      </c>
      <c r="E57" s="36" t="s">
        <v>581</v>
      </c>
      <c r="F57" s="36">
        <v>40.0</v>
      </c>
      <c r="G57" s="36" t="s">
        <v>582</v>
      </c>
      <c r="H57" s="37" t="s">
        <v>584</v>
      </c>
    </row>
    <row r="58">
      <c r="A58" s="31">
        <v>57.0</v>
      </c>
      <c r="B58" s="35">
        <v>46111.0</v>
      </c>
      <c r="C58" s="36" t="s">
        <v>452</v>
      </c>
      <c r="D58" s="36" t="s">
        <v>585</v>
      </c>
      <c r="E58" s="36" t="s">
        <v>586</v>
      </c>
      <c r="F58" s="36">
        <v>0.0</v>
      </c>
      <c r="G58" s="36" t="s">
        <v>587</v>
      </c>
      <c r="H58" s="37" t="s">
        <v>588</v>
      </c>
    </row>
    <row r="59">
      <c r="A59" s="31">
        <v>58.0</v>
      </c>
      <c r="B59" s="35">
        <v>46111.0</v>
      </c>
      <c r="C59" s="36" t="s">
        <v>441</v>
      </c>
      <c r="D59" s="36" t="s">
        <v>464</v>
      </c>
      <c r="E59" s="36" t="s">
        <v>252</v>
      </c>
      <c r="F59" s="36">
        <v>0.0</v>
      </c>
      <c r="G59" s="36" t="s">
        <v>589</v>
      </c>
      <c r="H59" s="37" t="s">
        <v>590</v>
      </c>
    </row>
    <row r="60">
      <c r="A60" s="31">
        <v>59.0</v>
      </c>
      <c r="B60" s="35">
        <v>46111.0</v>
      </c>
      <c r="C60" s="36" t="s">
        <v>468</v>
      </c>
      <c r="D60" s="36" t="s">
        <v>300</v>
      </c>
      <c r="E60" s="36" t="s">
        <v>591</v>
      </c>
      <c r="F60" s="36">
        <v>16.0</v>
      </c>
      <c r="H60" s="37" t="s">
        <v>592</v>
      </c>
    </row>
    <row r="61">
      <c r="A61" s="31">
        <v>60.0</v>
      </c>
      <c r="B61" s="35">
        <v>46111.0</v>
      </c>
      <c r="C61" s="36" t="s">
        <v>472</v>
      </c>
      <c r="D61" s="36" t="s">
        <v>573</v>
      </c>
      <c r="E61" s="36" t="s">
        <v>593</v>
      </c>
      <c r="F61" s="36">
        <v>35.0</v>
      </c>
      <c r="H61" s="37" t="s">
        <v>594</v>
      </c>
    </row>
    <row r="62">
      <c r="A62" s="31">
        <v>61.0</v>
      </c>
      <c r="B62" s="35">
        <v>46111.0</v>
      </c>
      <c r="C62" s="36" t="s">
        <v>520</v>
      </c>
      <c r="D62" s="36" t="s">
        <v>595</v>
      </c>
      <c r="E62" s="36" t="s">
        <v>596</v>
      </c>
      <c r="F62" s="36">
        <v>54.0</v>
      </c>
      <c r="G62" s="36" t="s">
        <v>597</v>
      </c>
      <c r="H62" s="37" t="s">
        <v>598</v>
      </c>
    </row>
    <row r="63">
      <c r="A63" s="31">
        <v>62.0</v>
      </c>
      <c r="B63" s="35">
        <v>46111.0</v>
      </c>
      <c r="C63" s="36" t="s">
        <v>444</v>
      </c>
      <c r="D63" s="36" t="s">
        <v>595</v>
      </c>
      <c r="E63" s="36" t="s">
        <v>599</v>
      </c>
      <c r="F63" s="36">
        <v>39.0</v>
      </c>
      <c r="H63" s="37" t="s">
        <v>600</v>
      </c>
    </row>
    <row r="64">
      <c r="A64" s="31">
        <v>63.0</v>
      </c>
      <c r="B64" s="35">
        <v>46111.0</v>
      </c>
      <c r="C64" s="36" t="s">
        <v>448</v>
      </c>
      <c r="D64" s="36" t="s">
        <v>555</v>
      </c>
      <c r="E64" s="36" t="s">
        <v>556</v>
      </c>
      <c r="F64" s="36">
        <v>37.0</v>
      </c>
      <c r="H64" s="37" t="s">
        <v>601</v>
      </c>
    </row>
    <row r="65">
      <c r="A65" s="31">
        <v>64.0</v>
      </c>
      <c r="B65" s="35">
        <v>46104.0</v>
      </c>
      <c r="C65" s="36" t="s">
        <v>468</v>
      </c>
      <c r="D65" s="36" t="s">
        <v>602</v>
      </c>
      <c r="E65" s="36" t="s">
        <v>603</v>
      </c>
      <c r="F65" s="36">
        <v>13.0</v>
      </c>
      <c r="H65" s="37" t="s">
        <v>604</v>
      </c>
    </row>
    <row r="66">
      <c r="A66" s="31">
        <v>65.0</v>
      </c>
      <c r="B66" s="35">
        <v>46112.0</v>
      </c>
      <c r="C66" s="36" t="s">
        <v>459</v>
      </c>
      <c r="D66" s="36" t="s">
        <v>605</v>
      </c>
      <c r="E66" s="36" t="s">
        <v>606</v>
      </c>
      <c r="F66" s="36">
        <v>37.0</v>
      </c>
      <c r="H66" s="37" t="s">
        <v>607</v>
      </c>
    </row>
    <row r="67">
      <c r="A67" s="31">
        <v>66.0</v>
      </c>
      <c r="B67" s="35">
        <v>46112.0</v>
      </c>
      <c r="C67" s="36" t="s">
        <v>441</v>
      </c>
      <c r="D67" s="36" t="s">
        <v>464</v>
      </c>
      <c r="E67" s="36" t="s">
        <v>465</v>
      </c>
      <c r="F67" s="36">
        <v>35.0</v>
      </c>
      <c r="G67" s="36" t="s">
        <v>608</v>
      </c>
      <c r="H67" s="37" t="s">
        <v>609</v>
      </c>
    </row>
    <row r="68">
      <c r="A68" s="31">
        <v>67.0</v>
      </c>
      <c r="B68" s="35">
        <v>46112.0</v>
      </c>
      <c r="C68" s="36" t="s">
        <v>463</v>
      </c>
      <c r="D68" s="36" t="s">
        <v>300</v>
      </c>
      <c r="E68" s="36" t="s">
        <v>610</v>
      </c>
      <c r="F68" s="36">
        <v>26.0</v>
      </c>
      <c r="H68" s="36" t="s">
        <v>611</v>
      </c>
    </row>
    <row r="69">
      <c r="A69" s="31">
        <v>68.0</v>
      </c>
      <c r="B69" s="35">
        <v>46112.0</v>
      </c>
      <c r="C69" s="36" t="s">
        <v>463</v>
      </c>
      <c r="D69" s="36" t="s">
        <v>300</v>
      </c>
      <c r="E69" s="36" t="s">
        <v>610</v>
      </c>
      <c r="F69" s="36">
        <v>26.0</v>
      </c>
      <c r="H69" s="36" t="s">
        <v>612</v>
      </c>
    </row>
    <row r="70">
      <c r="A70" s="31">
        <v>69.0</v>
      </c>
      <c r="B70" s="35">
        <v>46112.0</v>
      </c>
      <c r="C70" s="36" t="s">
        <v>452</v>
      </c>
      <c r="D70" s="36" t="s">
        <v>613</v>
      </c>
      <c r="E70" s="36" t="s">
        <v>454</v>
      </c>
      <c r="F70" s="36">
        <v>35.0</v>
      </c>
      <c r="H70" s="37" t="s">
        <v>614</v>
      </c>
    </row>
    <row r="71">
      <c r="A71" s="31">
        <v>70.0</v>
      </c>
      <c r="B71" s="35">
        <v>46112.0</v>
      </c>
      <c r="C71" s="36" t="s">
        <v>463</v>
      </c>
      <c r="D71" s="36" t="s">
        <v>300</v>
      </c>
      <c r="E71" s="36" t="s">
        <v>610</v>
      </c>
      <c r="F71" s="36">
        <v>26.0</v>
      </c>
      <c r="H71" s="36" t="s">
        <v>615</v>
      </c>
    </row>
    <row r="72">
      <c r="A72" s="31">
        <v>71.0</v>
      </c>
      <c r="B72" s="35">
        <v>46112.0</v>
      </c>
      <c r="C72" s="36" t="s">
        <v>520</v>
      </c>
      <c r="D72" s="36" t="s">
        <v>616</v>
      </c>
      <c r="E72" s="36" t="s">
        <v>617</v>
      </c>
      <c r="F72" s="36">
        <v>0.0</v>
      </c>
      <c r="G72" s="36" t="s">
        <v>618</v>
      </c>
    </row>
    <row r="73">
      <c r="A73" s="31">
        <v>72.0</v>
      </c>
      <c r="B73" s="35">
        <v>46112.0</v>
      </c>
      <c r="C73" s="36" t="s">
        <v>468</v>
      </c>
      <c r="D73" s="36" t="s">
        <v>300</v>
      </c>
      <c r="E73" s="36" t="s">
        <v>619</v>
      </c>
      <c r="F73" s="36">
        <v>21.0</v>
      </c>
      <c r="H73" s="37" t="s">
        <v>620</v>
      </c>
    </row>
    <row r="74">
      <c r="A74" s="31">
        <v>73.0</v>
      </c>
      <c r="B74" s="35">
        <v>46112.0</v>
      </c>
      <c r="C74" s="36" t="s">
        <v>472</v>
      </c>
      <c r="D74" s="36" t="s">
        <v>621</v>
      </c>
      <c r="E74" s="36" t="s">
        <v>622</v>
      </c>
      <c r="F74" s="36">
        <v>36.0</v>
      </c>
      <c r="H74" s="36" t="s">
        <v>623</v>
      </c>
    </row>
    <row r="75">
      <c r="A75" s="39">
        <v>74.0</v>
      </c>
      <c r="B75" s="40">
        <v>46112.0</v>
      </c>
      <c r="C75" s="41" t="s">
        <v>448</v>
      </c>
      <c r="D75" s="41" t="s">
        <v>555</v>
      </c>
      <c r="E75" s="41" t="s">
        <v>624</v>
      </c>
      <c r="F75" s="41">
        <v>42.0</v>
      </c>
      <c r="G75" s="42"/>
      <c r="H75" s="43" t="s">
        <v>625</v>
      </c>
    </row>
    <row r="76">
      <c r="A76" s="44">
        <v>75.0</v>
      </c>
      <c r="B76" s="45">
        <v>46113.0</v>
      </c>
      <c r="C76" s="46" t="s">
        <v>459</v>
      </c>
      <c r="D76" s="46" t="s">
        <v>626</v>
      </c>
      <c r="E76" s="46" t="s">
        <v>465</v>
      </c>
      <c r="F76" s="46">
        <v>35.0</v>
      </c>
      <c r="G76" s="47"/>
      <c r="H76" s="48" t="s">
        <v>627</v>
      </c>
    </row>
    <row r="77">
      <c r="A77" s="44">
        <v>76.0</v>
      </c>
      <c r="B77" s="45">
        <v>46113.0</v>
      </c>
      <c r="C77" s="46" t="s">
        <v>441</v>
      </c>
      <c r="D77" s="46" t="s">
        <v>464</v>
      </c>
      <c r="E77" s="46" t="s">
        <v>628</v>
      </c>
      <c r="F77" s="46">
        <v>39.0</v>
      </c>
      <c r="G77" s="47"/>
      <c r="H77" s="48" t="s">
        <v>629</v>
      </c>
    </row>
    <row r="78">
      <c r="A78" s="44">
        <v>77.0</v>
      </c>
      <c r="B78" s="45">
        <v>46113.0</v>
      </c>
      <c r="C78" s="46" t="s">
        <v>452</v>
      </c>
      <c r="D78" s="46" t="s">
        <v>613</v>
      </c>
      <c r="E78" s="46" t="s">
        <v>454</v>
      </c>
      <c r="F78" s="46">
        <v>35.0</v>
      </c>
      <c r="G78" s="46" t="s">
        <v>630</v>
      </c>
      <c r="H78" s="48" t="s">
        <v>631</v>
      </c>
    </row>
    <row r="79">
      <c r="A79" s="44">
        <v>78.0</v>
      </c>
      <c r="B79" s="45">
        <v>46113.0</v>
      </c>
      <c r="C79" s="46" t="s">
        <v>463</v>
      </c>
      <c r="D79" s="46" t="s">
        <v>632</v>
      </c>
      <c r="E79" s="46" t="s">
        <v>633</v>
      </c>
      <c r="F79" s="46">
        <v>36.0</v>
      </c>
      <c r="G79" s="47"/>
      <c r="H79" s="46" t="s">
        <v>634</v>
      </c>
    </row>
    <row r="80">
      <c r="A80" s="44">
        <v>79.0</v>
      </c>
      <c r="B80" s="45">
        <v>46113.0</v>
      </c>
      <c r="C80" s="46" t="s">
        <v>463</v>
      </c>
      <c r="D80" s="46" t="s">
        <v>632</v>
      </c>
      <c r="E80" s="46" t="s">
        <v>633</v>
      </c>
      <c r="F80" s="46">
        <v>36.0</v>
      </c>
      <c r="G80" s="46" t="s">
        <v>635</v>
      </c>
      <c r="H80" s="46" t="s">
        <v>636</v>
      </c>
    </row>
    <row r="81">
      <c r="A81" s="44">
        <v>80.0</v>
      </c>
      <c r="B81" s="45">
        <v>46113.0</v>
      </c>
      <c r="C81" s="46" t="s">
        <v>478</v>
      </c>
      <c r="D81" s="46" t="s">
        <v>637</v>
      </c>
      <c r="E81" s="46" t="s">
        <v>638</v>
      </c>
      <c r="F81" s="46">
        <v>45.0</v>
      </c>
      <c r="G81" s="46" t="s">
        <v>639</v>
      </c>
      <c r="H81" s="48" t="s">
        <v>640</v>
      </c>
    </row>
    <row r="82">
      <c r="A82" s="44">
        <v>81.0</v>
      </c>
      <c r="B82" s="45">
        <v>46113.0</v>
      </c>
      <c r="C82" s="46" t="s">
        <v>520</v>
      </c>
      <c r="D82" s="47"/>
      <c r="E82" s="46" t="s">
        <v>641</v>
      </c>
      <c r="F82" s="46">
        <v>35.0</v>
      </c>
      <c r="G82" s="47"/>
      <c r="H82" s="47"/>
    </row>
    <row r="83">
      <c r="A83" s="44">
        <v>82.0</v>
      </c>
      <c r="B83" s="45">
        <v>46113.0</v>
      </c>
      <c r="C83" s="46" t="s">
        <v>468</v>
      </c>
      <c r="D83" s="46" t="s">
        <v>300</v>
      </c>
      <c r="E83" s="46" t="s">
        <v>642</v>
      </c>
      <c r="F83" s="46">
        <v>36.0</v>
      </c>
      <c r="G83" s="47"/>
      <c r="H83" s="48" t="s">
        <v>643</v>
      </c>
    </row>
    <row r="84">
      <c r="A84" s="44">
        <v>83.0</v>
      </c>
      <c r="B84" s="45">
        <v>46113.0</v>
      </c>
      <c r="C84" s="46" t="s">
        <v>472</v>
      </c>
      <c r="D84" s="46" t="s">
        <v>573</v>
      </c>
      <c r="E84" s="46" t="s">
        <v>593</v>
      </c>
      <c r="F84" s="46">
        <v>35.0</v>
      </c>
      <c r="G84" s="47"/>
      <c r="H84" s="48" t="s">
        <v>644</v>
      </c>
    </row>
    <row r="85">
      <c r="A85" s="44">
        <v>84.0</v>
      </c>
      <c r="B85" s="45">
        <v>46113.0</v>
      </c>
      <c r="C85" s="46" t="s">
        <v>448</v>
      </c>
      <c r="D85" s="46" t="s">
        <v>645</v>
      </c>
      <c r="E85" s="46" t="s">
        <v>646</v>
      </c>
      <c r="F85" s="46">
        <v>35.0</v>
      </c>
      <c r="G85" s="46" t="s">
        <v>647</v>
      </c>
      <c r="H85" s="48" t="s">
        <v>648</v>
      </c>
    </row>
    <row r="86">
      <c r="A86" s="44">
        <v>85.0</v>
      </c>
      <c r="B86" s="45">
        <v>46113.0</v>
      </c>
      <c r="C86" s="46" t="s">
        <v>444</v>
      </c>
      <c r="D86" s="46" t="s">
        <v>649</v>
      </c>
      <c r="E86" s="46" t="s">
        <v>650</v>
      </c>
      <c r="F86" s="46">
        <v>37.0</v>
      </c>
      <c r="G86" s="46" t="s">
        <v>651</v>
      </c>
      <c r="H86" s="46" t="s">
        <v>652</v>
      </c>
    </row>
    <row r="87">
      <c r="A87" s="44">
        <v>86.0</v>
      </c>
      <c r="B87" s="45">
        <v>46113.0</v>
      </c>
      <c r="C87" s="46" t="s">
        <v>444</v>
      </c>
      <c r="D87" s="46" t="s">
        <v>649</v>
      </c>
      <c r="E87" s="46" t="s">
        <v>650</v>
      </c>
      <c r="F87" s="46">
        <v>37.0</v>
      </c>
      <c r="G87" s="46" t="s">
        <v>651</v>
      </c>
      <c r="H87" s="46" t="s">
        <v>653</v>
      </c>
    </row>
    <row r="88">
      <c r="A88" s="49">
        <v>87.0</v>
      </c>
      <c r="B88" s="50">
        <v>46114.0</v>
      </c>
      <c r="C88" s="51" t="s">
        <v>520</v>
      </c>
      <c r="D88" s="51" t="s">
        <v>654</v>
      </c>
      <c r="E88" s="51" t="s">
        <v>641</v>
      </c>
      <c r="F88" s="51">
        <v>35.0</v>
      </c>
      <c r="G88" s="52"/>
      <c r="H88" s="53" t="s">
        <v>655</v>
      </c>
    </row>
    <row r="89">
      <c r="A89" s="49">
        <v>88.0</v>
      </c>
      <c r="B89" s="50">
        <v>46114.0</v>
      </c>
      <c r="C89" s="51" t="s">
        <v>448</v>
      </c>
      <c r="D89" s="51" t="s">
        <v>656</v>
      </c>
      <c r="E89" s="51" t="s">
        <v>657</v>
      </c>
      <c r="F89" s="51">
        <v>27.0</v>
      </c>
      <c r="G89" s="51" t="s">
        <v>658</v>
      </c>
      <c r="H89" s="54" t="s">
        <v>659</v>
      </c>
    </row>
    <row r="90">
      <c r="A90" s="49">
        <v>89.0</v>
      </c>
      <c r="B90" s="50">
        <v>46114.0</v>
      </c>
      <c r="C90" s="51" t="s">
        <v>452</v>
      </c>
      <c r="D90" s="51" t="s">
        <v>660</v>
      </c>
      <c r="E90" s="51" t="s">
        <v>454</v>
      </c>
      <c r="F90" s="51">
        <v>35.0</v>
      </c>
      <c r="G90" s="51" t="s">
        <v>661</v>
      </c>
      <c r="H90" s="53" t="s">
        <v>662</v>
      </c>
    </row>
    <row r="91">
      <c r="A91" s="49">
        <v>90.0</v>
      </c>
      <c r="B91" s="50">
        <v>46114.0</v>
      </c>
      <c r="C91" s="51" t="s">
        <v>463</v>
      </c>
      <c r="D91" s="51" t="s">
        <v>340</v>
      </c>
      <c r="E91" s="51" t="s">
        <v>663</v>
      </c>
      <c r="F91" s="51">
        <v>0.0</v>
      </c>
      <c r="G91" s="51" t="s">
        <v>664</v>
      </c>
      <c r="H91" s="54" t="s">
        <v>665</v>
      </c>
    </row>
    <row r="92">
      <c r="A92" s="49">
        <v>91.0</v>
      </c>
      <c r="B92" s="50">
        <v>46114.0</v>
      </c>
      <c r="C92" s="51" t="s">
        <v>463</v>
      </c>
      <c r="D92" s="51" t="s">
        <v>340</v>
      </c>
      <c r="E92" s="51" t="s">
        <v>663</v>
      </c>
      <c r="F92" s="51">
        <v>0.0</v>
      </c>
      <c r="G92" s="51" t="s">
        <v>664</v>
      </c>
      <c r="H92" s="54" t="s">
        <v>666</v>
      </c>
    </row>
    <row r="93">
      <c r="A93" s="49">
        <v>92.0</v>
      </c>
      <c r="B93" s="50">
        <v>46114.0</v>
      </c>
      <c r="C93" s="51" t="s">
        <v>441</v>
      </c>
      <c r="D93" s="51" t="s">
        <v>464</v>
      </c>
      <c r="E93" s="51" t="s">
        <v>667</v>
      </c>
      <c r="F93" s="51">
        <v>62.0</v>
      </c>
      <c r="G93" s="51" t="s">
        <v>668</v>
      </c>
      <c r="H93" s="53" t="s">
        <v>669</v>
      </c>
    </row>
    <row r="94">
      <c r="A94" s="49">
        <v>93.0</v>
      </c>
      <c r="B94" s="50">
        <v>46114.0</v>
      </c>
      <c r="C94" s="51" t="s">
        <v>478</v>
      </c>
      <c r="D94" s="51" t="s">
        <v>670</v>
      </c>
      <c r="E94" s="51" t="s">
        <v>642</v>
      </c>
      <c r="F94" s="51">
        <v>36.0</v>
      </c>
      <c r="G94" s="51" t="s">
        <v>671</v>
      </c>
      <c r="H94" s="53" t="s">
        <v>672</v>
      </c>
    </row>
    <row r="95">
      <c r="A95" s="49">
        <v>94.0</v>
      </c>
      <c r="B95" s="50">
        <v>46114.0</v>
      </c>
      <c r="C95" s="51" t="s">
        <v>472</v>
      </c>
      <c r="D95" s="51" t="s">
        <v>573</v>
      </c>
      <c r="E95" s="51" t="s">
        <v>673</v>
      </c>
      <c r="F95" s="51">
        <v>37.0</v>
      </c>
      <c r="G95" s="52"/>
      <c r="H95" s="53" t="s">
        <v>321</v>
      </c>
    </row>
    <row r="96">
      <c r="A96" s="49">
        <v>95.0</v>
      </c>
      <c r="B96" s="50">
        <v>46114.0</v>
      </c>
      <c r="C96" s="51" t="s">
        <v>444</v>
      </c>
      <c r="D96" s="51" t="s">
        <v>674</v>
      </c>
      <c r="E96" s="51" t="s">
        <v>675</v>
      </c>
      <c r="F96" s="51">
        <v>35.0</v>
      </c>
      <c r="G96" s="52"/>
      <c r="H96" s="54" t="s">
        <v>676</v>
      </c>
    </row>
    <row r="97">
      <c r="A97" s="49">
        <v>96.0</v>
      </c>
      <c r="B97" s="50">
        <v>46114.0</v>
      </c>
      <c r="C97" s="51" t="s">
        <v>468</v>
      </c>
      <c r="D97" s="51" t="s">
        <v>677</v>
      </c>
      <c r="E97" s="51" t="s">
        <v>678</v>
      </c>
      <c r="F97" s="51">
        <v>11.0</v>
      </c>
      <c r="G97" s="51" t="s">
        <v>679</v>
      </c>
      <c r="H97" s="54" t="s">
        <v>680</v>
      </c>
    </row>
    <row r="98">
      <c r="A98" s="55">
        <v>97.0</v>
      </c>
      <c r="B98" s="56">
        <v>46114.0</v>
      </c>
      <c r="C98" s="57" t="s">
        <v>478</v>
      </c>
      <c r="D98" s="57" t="s">
        <v>278</v>
      </c>
      <c r="E98" s="57" t="s">
        <v>681</v>
      </c>
      <c r="F98" s="57">
        <v>1000.0</v>
      </c>
      <c r="G98" s="57" t="s">
        <v>682</v>
      </c>
      <c r="H98" s="58" t="s">
        <v>683</v>
      </c>
    </row>
    <row r="99">
      <c r="A99" s="55">
        <v>98.0</v>
      </c>
      <c r="B99" s="56">
        <v>46114.0</v>
      </c>
      <c r="C99" s="57" t="s">
        <v>459</v>
      </c>
      <c r="D99" s="57" t="s">
        <v>684</v>
      </c>
      <c r="E99" s="57" t="s">
        <v>685</v>
      </c>
      <c r="F99" s="57">
        <v>96.0</v>
      </c>
      <c r="G99" s="57" t="s">
        <v>686</v>
      </c>
      <c r="H99" s="58" t="s">
        <v>687</v>
      </c>
    </row>
    <row r="100">
      <c r="A100" s="55">
        <v>99.0</v>
      </c>
      <c r="B100" s="56">
        <v>46116.0</v>
      </c>
      <c r="C100" s="57" t="s">
        <v>520</v>
      </c>
      <c r="D100" s="57" t="s">
        <v>688</v>
      </c>
      <c r="E100" s="57" t="s">
        <v>641</v>
      </c>
      <c r="F100" s="57">
        <v>35.0</v>
      </c>
      <c r="G100" s="57" t="s">
        <v>689</v>
      </c>
      <c r="H100" s="58" t="s">
        <v>689</v>
      </c>
    </row>
    <row r="101">
      <c r="A101" s="55">
        <v>100.0</v>
      </c>
      <c r="B101" s="56">
        <v>46116.0</v>
      </c>
      <c r="C101" s="57" t="s">
        <v>459</v>
      </c>
      <c r="D101" s="57" t="s">
        <v>690</v>
      </c>
      <c r="E101" s="57" t="s">
        <v>691</v>
      </c>
      <c r="F101" s="57">
        <v>36.0</v>
      </c>
      <c r="G101" s="57" t="s">
        <v>692</v>
      </c>
      <c r="H101" s="58" t="s">
        <v>693</v>
      </c>
    </row>
    <row r="102">
      <c r="A102" s="55">
        <v>101.0</v>
      </c>
      <c r="B102" s="56">
        <v>46116.0</v>
      </c>
      <c r="C102" s="57" t="s">
        <v>441</v>
      </c>
      <c r="D102" s="57" t="s">
        <v>464</v>
      </c>
      <c r="E102" s="57" t="s">
        <v>694</v>
      </c>
      <c r="F102" s="57">
        <v>91.0</v>
      </c>
      <c r="G102" s="57" t="s">
        <v>695</v>
      </c>
      <c r="H102" s="58" t="s">
        <v>696</v>
      </c>
    </row>
    <row r="103">
      <c r="A103" s="55">
        <v>102.0</v>
      </c>
      <c r="B103" s="56">
        <v>46116.0</v>
      </c>
      <c r="C103" s="57" t="s">
        <v>478</v>
      </c>
      <c r="D103" s="59"/>
      <c r="E103" s="57" t="s">
        <v>586</v>
      </c>
      <c r="F103" s="57">
        <v>0.0</v>
      </c>
      <c r="G103" s="57" t="s">
        <v>697</v>
      </c>
      <c r="H103" s="60" t="s">
        <v>698</v>
      </c>
    </row>
    <row r="104">
      <c r="A104" s="55">
        <v>103.0</v>
      </c>
      <c r="B104" s="56">
        <v>46116.0</v>
      </c>
      <c r="C104" s="57" t="s">
        <v>452</v>
      </c>
      <c r="D104" s="57" t="s">
        <v>699</v>
      </c>
      <c r="E104" s="57" t="s">
        <v>454</v>
      </c>
      <c r="F104" s="57">
        <v>35.0</v>
      </c>
      <c r="G104" s="57" t="s">
        <v>700</v>
      </c>
      <c r="H104" s="60" t="s">
        <v>701</v>
      </c>
    </row>
    <row r="105">
      <c r="A105" s="55">
        <v>104.0</v>
      </c>
      <c r="B105" s="56">
        <v>46116.0</v>
      </c>
      <c r="C105" s="57" t="s">
        <v>463</v>
      </c>
      <c r="D105" s="57" t="s">
        <v>340</v>
      </c>
      <c r="E105" s="57" t="s">
        <v>702</v>
      </c>
      <c r="F105" s="57">
        <v>35.0</v>
      </c>
      <c r="G105" s="59"/>
      <c r="H105" s="60" t="s">
        <v>703</v>
      </c>
    </row>
    <row r="106">
      <c r="A106" s="55">
        <v>105.0</v>
      </c>
      <c r="B106" s="56">
        <v>46116.0</v>
      </c>
      <c r="C106" s="57" t="s">
        <v>463</v>
      </c>
      <c r="D106" s="57" t="s">
        <v>340</v>
      </c>
      <c r="E106" s="57" t="s">
        <v>702</v>
      </c>
      <c r="F106" s="57">
        <v>35.0</v>
      </c>
      <c r="G106" s="59"/>
      <c r="H106" s="60" t="s">
        <v>704</v>
      </c>
    </row>
    <row r="107">
      <c r="A107" s="55">
        <v>106.0</v>
      </c>
      <c r="B107" s="56">
        <v>46116.0</v>
      </c>
      <c r="C107" s="57" t="s">
        <v>468</v>
      </c>
      <c r="D107" s="57" t="s">
        <v>358</v>
      </c>
      <c r="E107" s="57" t="s">
        <v>705</v>
      </c>
      <c r="F107" s="57">
        <v>15.0</v>
      </c>
      <c r="G107" s="59"/>
      <c r="H107" s="58" t="s">
        <v>706</v>
      </c>
    </row>
    <row r="108">
      <c r="A108" s="55">
        <v>107.0</v>
      </c>
      <c r="B108" s="56">
        <v>46116.0</v>
      </c>
      <c r="C108" s="57" t="s">
        <v>444</v>
      </c>
      <c r="D108" s="57" t="s">
        <v>707</v>
      </c>
      <c r="E108" s="57" t="s">
        <v>708</v>
      </c>
      <c r="F108" s="57">
        <v>25.0</v>
      </c>
      <c r="G108" s="57" t="s">
        <v>709</v>
      </c>
      <c r="H108" s="58" t="s">
        <v>710</v>
      </c>
    </row>
    <row r="109">
      <c r="A109" s="55">
        <v>108.0</v>
      </c>
      <c r="B109" s="56">
        <v>46116.0</v>
      </c>
      <c r="C109" s="57" t="s">
        <v>572</v>
      </c>
      <c r="D109" s="57" t="s">
        <v>711</v>
      </c>
      <c r="E109" s="57" t="s">
        <v>712</v>
      </c>
      <c r="F109" s="57">
        <v>15.0</v>
      </c>
      <c r="G109" s="57" t="s">
        <v>713</v>
      </c>
      <c r="H109" s="60" t="s">
        <v>714</v>
      </c>
    </row>
    <row r="110">
      <c r="A110" s="61">
        <v>109.0</v>
      </c>
      <c r="B110" s="62">
        <v>46116.0</v>
      </c>
      <c r="C110" s="63" t="s">
        <v>448</v>
      </c>
      <c r="D110" s="63" t="s">
        <v>715</v>
      </c>
      <c r="E110" s="63" t="s">
        <v>716</v>
      </c>
      <c r="F110" s="63">
        <v>36.0</v>
      </c>
      <c r="G110" s="63" t="s">
        <v>717</v>
      </c>
      <c r="H110" s="64" t="s">
        <v>718</v>
      </c>
    </row>
    <row r="111">
      <c r="A111" s="61">
        <v>110.0</v>
      </c>
      <c r="B111" s="62">
        <v>46118.0</v>
      </c>
      <c r="C111" s="63" t="s">
        <v>459</v>
      </c>
      <c r="D111" s="63" t="s">
        <v>719</v>
      </c>
      <c r="E111" s="63" t="s">
        <v>252</v>
      </c>
      <c r="F111" s="63">
        <v>0.0</v>
      </c>
      <c r="G111" s="63" t="s">
        <v>720</v>
      </c>
      <c r="H111" s="65"/>
    </row>
    <row r="112">
      <c r="A112" s="61">
        <v>111.0</v>
      </c>
      <c r="B112" s="62">
        <v>46118.0</v>
      </c>
      <c r="C112" s="63" t="s">
        <v>444</v>
      </c>
      <c r="D112" s="63" t="s">
        <v>721</v>
      </c>
      <c r="E112" s="63" t="s">
        <v>722</v>
      </c>
      <c r="F112" s="63">
        <v>0.0</v>
      </c>
      <c r="G112" s="63" t="s">
        <v>723</v>
      </c>
      <c r="H112" s="66" t="s">
        <v>724</v>
      </c>
    </row>
    <row r="113">
      <c r="A113" s="61">
        <v>112.0</v>
      </c>
      <c r="B113" s="62">
        <v>46118.0</v>
      </c>
      <c r="C113" s="63" t="s">
        <v>452</v>
      </c>
      <c r="D113" s="63" t="s">
        <v>725</v>
      </c>
      <c r="E113" s="63" t="s">
        <v>726</v>
      </c>
      <c r="F113" s="63">
        <v>23.0</v>
      </c>
      <c r="G113" s="63" t="s">
        <v>727</v>
      </c>
      <c r="H113" s="64" t="s">
        <v>728</v>
      </c>
    </row>
    <row r="114">
      <c r="A114" s="61">
        <v>113.0</v>
      </c>
      <c r="B114" s="62">
        <v>46118.0</v>
      </c>
      <c r="C114" s="63" t="s">
        <v>452</v>
      </c>
      <c r="D114" s="63" t="s">
        <v>725</v>
      </c>
      <c r="E114" s="63" t="s">
        <v>726</v>
      </c>
      <c r="F114" s="63">
        <v>23.0</v>
      </c>
      <c r="G114" s="63" t="s">
        <v>729</v>
      </c>
      <c r="H114" s="64" t="s">
        <v>730</v>
      </c>
    </row>
    <row r="115">
      <c r="A115" s="61">
        <v>114.0</v>
      </c>
      <c r="B115" s="62">
        <v>46118.0</v>
      </c>
      <c r="C115" s="63" t="s">
        <v>463</v>
      </c>
      <c r="D115" s="63" t="s">
        <v>340</v>
      </c>
      <c r="E115" s="63" t="s">
        <v>731</v>
      </c>
      <c r="F115" s="63">
        <v>43.0</v>
      </c>
      <c r="G115" s="63" t="s">
        <v>732</v>
      </c>
      <c r="H115" s="64" t="s">
        <v>733</v>
      </c>
    </row>
    <row r="116">
      <c r="A116" s="61">
        <v>115.0</v>
      </c>
      <c r="B116" s="62">
        <v>46118.0</v>
      </c>
      <c r="C116" s="63" t="s">
        <v>463</v>
      </c>
      <c r="D116" s="63" t="s">
        <v>340</v>
      </c>
      <c r="E116" s="63" t="s">
        <v>731</v>
      </c>
      <c r="F116" s="63">
        <v>43.0</v>
      </c>
      <c r="G116" s="63" t="s">
        <v>732</v>
      </c>
      <c r="H116" s="64" t="s">
        <v>734</v>
      </c>
    </row>
    <row r="117">
      <c r="A117" s="61">
        <v>116.0</v>
      </c>
      <c r="B117" s="62">
        <v>46118.0</v>
      </c>
      <c r="C117" s="63" t="s">
        <v>520</v>
      </c>
      <c r="D117" s="63" t="s">
        <v>688</v>
      </c>
      <c r="E117" s="63" t="s">
        <v>641</v>
      </c>
      <c r="F117" s="63">
        <v>35.0</v>
      </c>
      <c r="G117" s="65"/>
      <c r="H117" s="66" t="s">
        <v>689</v>
      </c>
    </row>
    <row r="118">
      <c r="A118" s="61">
        <v>117.0</v>
      </c>
      <c r="B118" s="62">
        <v>46118.0</v>
      </c>
      <c r="C118" s="63" t="s">
        <v>441</v>
      </c>
      <c r="D118" s="63" t="s">
        <v>735</v>
      </c>
      <c r="E118" s="63" t="s">
        <v>736</v>
      </c>
      <c r="F118" s="63">
        <v>35.0</v>
      </c>
      <c r="G118" s="63" t="s">
        <v>737</v>
      </c>
      <c r="H118" s="66" t="s">
        <v>738</v>
      </c>
    </row>
    <row r="119">
      <c r="A119" s="61">
        <v>118.0</v>
      </c>
      <c r="B119" s="62">
        <v>46118.0</v>
      </c>
      <c r="C119" s="63" t="s">
        <v>472</v>
      </c>
      <c r="D119" s="63" t="s">
        <v>739</v>
      </c>
      <c r="E119" s="63" t="s">
        <v>736</v>
      </c>
      <c r="F119" s="63">
        <v>35.0</v>
      </c>
      <c r="G119" s="65"/>
      <c r="H119" s="66" t="s">
        <v>348</v>
      </c>
    </row>
    <row r="120">
      <c r="A120" s="61">
        <v>119.0</v>
      </c>
      <c r="B120" s="62">
        <v>46118.0</v>
      </c>
      <c r="C120" s="63" t="s">
        <v>468</v>
      </c>
      <c r="D120" s="63" t="s">
        <v>358</v>
      </c>
      <c r="E120" s="63" t="s">
        <v>740</v>
      </c>
      <c r="F120" s="63">
        <v>25.0</v>
      </c>
      <c r="G120" s="65"/>
      <c r="H120" s="66" t="s">
        <v>741</v>
      </c>
    </row>
    <row r="121">
      <c r="A121" s="61">
        <v>120.0</v>
      </c>
      <c r="B121" s="62">
        <v>46118.0</v>
      </c>
      <c r="C121" s="63" t="s">
        <v>478</v>
      </c>
      <c r="D121" s="63" t="s">
        <v>742</v>
      </c>
      <c r="E121" s="63" t="s">
        <v>743</v>
      </c>
      <c r="F121" s="63">
        <v>38.0</v>
      </c>
      <c r="G121" s="63" t="s">
        <v>744</v>
      </c>
      <c r="H121" s="64" t="s">
        <v>745</v>
      </c>
    </row>
    <row r="122">
      <c r="A122" s="67">
        <v>121.0</v>
      </c>
      <c r="B122" s="68">
        <v>46118.0</v>
      </c>
      <c r="C122" s="69" t="s">
        <v>448</v>
      </c>
      <c r="D122" s="69" t="s">
        <v>340</v>
      </c>
      <c r="E122" s="69" t="s">
        <v>746</v>
      </c>
      <c r="F122" s="69">
        <v>35.0</v>
      </c>
      <c r="G122" s="69" t="s">
        <v>747</v>
      </c>
      <c r="H122" s="70">
        <v>1.0</v>
      </c>
    </row>
    <row r="123">
      <c r="A123" s="67">
        <v>122.0</v>
      </c>
      <c r="B123" s="68">
        <v>46119.0</v>
      </c>
      <c r="C123" s="69" t="s">
        <v>459</v>
      </c>
      <c r="D123" s="69" t="s">
        <v>719</v>
      </c>
      <c r="E123" s="69" t="s">
        <v>748</v>
      </c>
      <c r="F123" s="69">
        <v>41.0</v>
      </c>
      <c r="G123" s="71"/>
      <c r="H123" s="70" t="s">
        <v>749</v>
      </c>
    </row>
    <row r="124">
      <c r="A124" s="67">
        <v>123.0</v>
      </c>
      <c r="B124" s="68">
        <v>46119.0</v>
      </c>
      <c r="C124" s="69" t="s">
        <v>441</v>
      </c>
      <c r="D124" s="69" t="s">
        <v>750</v>
      </c>
      <c r="E124" s="69" t="s">
        <v>751</v>
      </c>
      <c r="F124" s="69">
        <v>36.0</v>
      </c>
      <c r="G124" s="69" t="s">
        <v>752</v>
      </c>
      <c r="H124" s="70" t="s">
        <v>753</v>
      </c>
    </row>
    <row r="125">
      <c r="A125" s="67">
        <v>124.0</v>
      </c>
      <c r="B125" s="68">
        <v>46119.0</v>
      </c>
      <c r="C125" s="69" t="s">
        <v>452</v>
      </c>
      <c r="D125" s="69" t="s">
        <v>754</v>
      </c>
      <c r="E125" s="69" t="s">
        <v>586</v>
      </c>
      <c r="F125" s="69">
        <v>0.0</v>
      </c>
      <c r="G125" s="69" t="s">
        <v>755</v>
      </c>
      <c r="H125" s="70" t="s">
        <v>756</v>
      </c>
    </row>
    <row r="126">
      <c r="A126" s="67">
        <v>125.0</v>
      </c>
      <c r="B126" s="68">
        <v>46119.0</v>
      </c>
      <c r="C126" s="69" t="s">
        <v>463</v>
      </c>
      <c r="D126" s="71"/>
      <c r="E126" s="69" t="s">
        <v>757</v>
      </c>
      <c r="F126" s="69">
        <v>42.0</v>
      </c>
      <c r="G126" s="69" t="s">
        <v>758</v>
      </c>
      <c r="H126" s="70" t="s">
        <v>759</v>
      </c>
    </row>
    <row r="127">
      <c r="A127" s="67">
        <v>126.0</v>
      </c>
      <c r="B127" s="68">
        <v>46119.0</v>
      </c>
      <c r="C127" s="69" t="s">
        <v>463</v>
      </c>
      <c r="D127" s="71"/>
      <c r="E127" s="69" t="s">
        <v>757</v>
      </c>
      <c r="F127" s="69">
        <v>42.0</v>
      </c>
      <c r="G127" s="69" t="s">
        <v>758</v>
      </c>
      <c r="H127" s="70" t="s">
        <v>759</v>
      </c>
    </row>
    <row r="128">
      <c r="A128" s="67">
        <v>127.0</v>
      </c>
      <c r="B128" s="68">
        <v>46119.0</v>
      </c>
      <c r="C128" s="69" t="s">
        <v>520</v>
      </c>
      <c r="D128" s="69" t="s">
        <v>760</v>
      </c>
      <c r="E128" s="69" t="s">
        <v>761</v>
      </c>
      <c r="F128" s="69">
        <v>0.0</v>
      </c>
      <c r="G128" s="69" t="s">
        <v>762</v>
      </c>
      <c r="H128" s="71"/>
    </row>
    <row r="129">
      <c r="A129" s="67">
        <v>128.0</v>
      </c>
      <c r="B129" s="68">
        <v>46119.0</v>
      </c>
      <c r="C129" s="69" t="s">
        <v>468</v>
      </c>
      <c r="D129" s="69" t="s">
        <v>358</v>
      </c>
      <c r="E129" s="69" t="s">
        <v>763</v>
      </c>
      <c r="F129" s="69">
        <v>16.0</v>
      </c>
      <c r="G129" s="69" t="s">
        <v>764</v>
      </c>
      <c r="H129" s="70" t="s">
        <v>765</v>
      </c>
    </row>
    <row r="130">
      <c r="A130" s="67">
        <v>129.0</v>
      </c>
      <c r="B130" s="68">
        <v>46119.0</v>
      </c>
      <c r="C130" s="69" t="s">
        <v>472</v>
      </c>
      <c r="D130" s="69" t="s">
        <v>346</v>
      </c>
      <c r="E130" s="69" t="s">
        <v>766</v>
      </c>
      <c r="F130" s="69">
        <v>62.0</v>
      </c>
      <c r="G130" s="71"/>
      <c r="H130" s="70" t="s">
        <v>47</v>
      </c>
    </row>
    <row r="131">
      <c r="A131" s="67">
        <v>130.0</v>
      </c>
      <c r="B131" s="68">
        <v>46119.0</v>
      </c>
      <c r="C131" s="69" t="s">
        <v>478</v>
      </c>
      <c r="D131" s="69" t="s">
        <v>767</v>
      </c>
      <c r="E131" s="69" t="s">
        <v>768</v>
      </c>
      <c r="F131" s="69">
        <v>0.0</v>
      </c>
      <c r="G131" s="69" t="s">
        <v>769</v>
      </c>
      <c r="H131" s="72" t="s">
        <v>770</v>
      </c>
    </row>
    <row r="132">
      <c r="A132" s="67">
        <v>131.0</v>
      </c>
      <c r="B132" s="68">
        <v>46119.0</v>
      </c>
      <c r="C132" s="69" t="s">
        <v>444</v>
      </c>
      <c r="D132" s="69" t="s">
        <v>684</v>
      </c>
      <c r="E132" s="69" t="s">
        <v>771</v>
      </c>
      <c r="F132" s="69">
        <v>36.0</v>
      </c>
      <c r="G132" s="69" t="s">
        <v>772</v>
      </c>
      <c r="H132" s="70" t="s">
        <v>773</v>
      </c>
    </row>
    <row r="133">
      <c r="A133" s="67">
        <v>132.0</v>
      </c>
      <c r="B133" s="68">
        <v>46119.0</v>
      </c>
      <c r="C133" s="69" t="s">
        <v>448</v>
      </c>
      <c r="D133" s="69" t="s">
        <v>774</v>
      </c>
      <c r="E133" s="69" t="s">
        <v>775</v>
      </c>
      <c r="F133" s="69">
        <v>36.0</v>
      </c>
      <c r="G133" s="69" t="s">
        <v>776</v>
      </c>
      <c r="H133" s="72" t="s">
        <v>777</v>
      </c>
    </row>
    <row r="134">
      <c r="A134" s="67">
        <v>133.0</v>
      </c>
      <c r="B134" s="68">
        <v>46120.0</v>
      </c>
      <c r="C134" s="69" t="s">
        <v>478</v>
      </c>
      <c r="D134" s="71"/>
      <c r="E134" s="69" t="s">
        <v>768</v>
      </c>
      <c r="F134" s="69">
        <v>0.0</v>
      </c>
      <c r="G134" s="69" t="s">
        <v>778</v>
      </c>
      <c r="H134" s="70" t="s">
        <v>779</v>
      </c>
    </row>
    <row r="135">
      <c r="A135" s="67">
        <v>134.0</v>
      </c>
      <c r="B135" s="68">
        <v>46119.0</v>
      </c>
      <c r="C135" s="69" t="s">
        <v>472</v>
      </c>
      <c r="D135" s="69" t="s">
        <v>346</v>
      </c>
      <c r="E135" s="69" t="s">
        <v>766</v>
      </c>
      <c r="F135" s="69">
        <v>62.0</v>
      </c>
      <c r="G135" s="71"/>
      <c r="H135" s="70" t="s">
        <v>47</v>
      </c>
    </row>
    <row r="136">
      <c r="A136" s="67">
        <v>135.0</v>
      </c>
      <c r="B136" s="68">
        <v>46119.0</v>
      </c>
      <c r="C136" s="69" t="s">
        <v>444</v>
      </c>
      <c r="D136" s="69" t="s">
        <v>780</v>
      </c>
      <c r="E136" s="69" t="s">
        <v>771</v>
      </c>
      <c r="F136" s="69">
        <v>36.0</v>
      </c>
      <c r="G136" s="71"/>
      <c r="H136" s="71"/>
    </row>
    <row r="137">
      <c r="A137" s="73">
        <v>136.0</v>
      </c>
      <c r="B137" s="74">
        <v>46120.0</v>
      </c>
      <c r="C137" s="75" t="s">
        <v>459</v>
      </c>
      <c r="D137" s="75" t="s">
        <v>719</v>
      </c>
      <c r="E137" s="75" t="s">
        <v>781</v>
      </c>
      <c r="F137" s="75">
        <v>56.0</v>
      </c>
      <c r="G137" s="75" t="s">
        <v>782</v>
      </c>
      <c r="H137" s="76" t="s">
        <v>783</v>
      </c>
    </row>
    <row r="138">
      <c r="A138" s="73">
        <v>137.0</v>
      </c>
      <c r="B138" s="74">
        <v>46120.0</v>
      </c>
      <c r="C138" s="75" t="s">
        <v>441</v>
      </c>
      <c r="D138" s="75" t="s">
        <v>784</v>
      </c>
      <c r="E138" s="75" t="s">
        <v>785</v>
      </c>
      <c r="F138" s="75">
        <v>33.0</v>
      </c>
      <c r="G138" s="75" t="s">
        <v>786</v>
      </c>
      <c r="H138" s="76" t="s">
        <v>787</v>
      </c>
    </row>
    <row r="139">
      <c r="A139" s="73">
        <v>138.0</v>
      </c>
      <c r="B139" s="74">
        <v>46120.0</v>
      </c>
      <c r="C139" s="75" t="s">
        <v>448</v>
      </c>
      <c r="D139" s="75" t="s">
        <v>788</v>
      </c>
      <c r="E139" s="75" t="s">
        <v>252</v>
      </c>
      <c r="F139" s="75">
        <v>0.0</v>
      </c>
      <c r="G139" s="75" t="s">
        <v>789</v>
      </c>
      <c r="H139" s="77" t="s">
        <v>790</v>
      </c>
    </row>
    <row r="140">
      <c r="A140" s="73">
        <v>139.0</v>
      </c>
      <c r="B140" s="74">
        <v>46120.0</v>
      </c>
      <c r="C140" s="75" t="s">
        <v>452</v>
      </c>
      <c r="D140" s="75" t="s">
        <v>791</v>
      </c>
      <c r="E140" s="75" t="s">
        <v>792</v>
      </c>
      <c r="F140" s="75">
        <v>15.0</v>
      </c>
      <c r="G140" s="75" t="s">
        <v>793</v>
      </c>
      <c r="H140" s="78"/>
    </row>
    <row r="141">
      <c r="A141" s="73">
        <v>140.0</v>
      </c>
      <c r="B141" s="74">
        <v>46120.0</v>
      </c>
      <c r="C141" s="75" t="s">
        <v>452</v>
      </c>
      <c r="D141" s="75" t="s">
        <v>754</v>
      </c>
      <c r="E141" s="75" t="s">
        <v>792</v>
      </c>
      <c r="F141" s="75">
        <v>15.0</v>
      </c>
      <c r="G141" s="75" t="s">
        <v>794</v>
      </c>
      <c r="H141" s="77" t="s">
        <v>795</v>
      </c>
    </row>
    <row r="142">
      <c r="A142" s="73">
        <v>141.0</v>
      </c>
      <c r="B142" s="74">
        <v>46120.0</v>
      </c>
      <c r="C142" s="75" t="s">
        <v>452</v>
      </c>
      <c r="D142" s="75" t="s">
        <v>791</v>
      </c>
      <c r="E142" s="75" t="s">
        <v>792</v>
      </c>
      <c r="F142" s="75">
        <v>15.0</v>
      </c>
      <c r="G142" s="75" t="s">
        <v>796</v>
      </c>
      <c r="H142" s="77" t="s">
        <v>797</v>
      </c>
    </row>
    <row r="143">
      <c r="A143" s="73">
        <v>142.0</v>
      </c>
      <c r="B143" s="74">
        <v>46120.0</v>
      </c>
      <c r="C143" s="75" t="s">
        <v>463</v>
      </c>
      <c r="D143" s="75" t="s">
        <v>367</v>
      </c>
      <c r="E143" s="75" t="s">
        <v>443</v>
      </c>
      <c r="F143" s="75">
        <v>0.0</v>
      </c>
      <c r="G143" s="78"/>
      <c r="H143" s="77" t="s">
        <v>798</v>
      </c>
    </row>
    <row r="144">
      <c r="A144" s="73">
        <v>143.0</v>
      </c>
      <c r="B144" s="74">
        <v>46120.0</v>
      </c>
      <c r="C144" s="75" t="s">
        <v>463</v>
      </c>
      <c r="D144" s="75" t="s">
        <v>367</v>
      </c>
      <c r="E144" s="75" t="s">
        <v>443</v>
      </c>
      <c r="F144" s="75">
        <v>0.0</v>
      </c>
      <c r="G144" s="78"/>
      <c r="H144" s="77" t="s">
        <v>799</v>
      </c>
    </row>
    <row r="145">
      <c r="A145" s="73">
        <v>144.0</v>
      </c>
      <c r="B145" s="74">
        <v>46120.0</v>
      </c>
      <c r="C145" s="75" t="s">
        <v>520</v>
      </c>
      <c r="D145" s="75" t="s">
        <v>760</v>
      </c>
      <c r="E145" s="75" t="s">
        <v>800</v>
      </c>
      <c r="F145" s="75">
        <v>35.0</v>
      </c>
      <c r="G145" s="78"/>
      <c r="H145" s="76">
        <v>1.0</v>
      </c>
    </row>
    <row r="146">
      <c r="A146" s="73">
        <v>145.0</v>
      </c>
      <c r="B146" s="74">
        <v>46120.0</v>
      </c>
      <c r="C146" s="75" t="s">
        <v>468</v>
      </c>
      <c r="D146" s="75" t="s">
        <v>358</v>
      </c>
      <c r="E146" s="75" t="s">
        <v>801</v>
      </c>
      <c r="F146" s="75">
        <v>22.0</v>
      </c>
      <c r="G146" s="78"/>
      <c r="H146" s="76" t="s">
        <v>802</v>
      </c>
    </row>
    <row r="147">
      <c r="A147" s="73">
        <v>146.0</v>
      </c>
      <c r="B147" s="74">
        <v>46120.0</v>
      </c>
      <c r="C147" s="75" t="s">
        <v>472</v>
      </c>
      <c r="D147" s="75" t="s">
        <v>803</v>
      </c>
      <c r="E147" s="75" t="s">
        <v>804</v>
      </c>
      <c r="F147" s="75">
        <v>16.0</v>
      </c>
      <c r="G147" s="78"/>
      <c r="H147" s="76" t="s">
        <v>99</v>
      </c>
    </row>
    <row r="148">
      <c r="A148" s="73">
        <v>147.0</v>
      </c>
      <c r="B148" s="74">
        <v>46120.0</v>
      </c>
      <c r="C148" s="75" t="s">
        <v>444</v>
      </c>
      <c r="D148" s="75" t="s">
        <v>684</v>
      </c>
      <c r="E148" s="75" t="s">
        <v>805</v>
      </c>
      <c r="F148" s="75">
        <v>49.0</v>
      </c>
      <c r="G148" s="78"/>
      <c r="H148" s="76" t="s">
        <v>773</v>
      </c>
    </row>
    <row r="149">
      <c r="A149" s="73">
        <v>148.0</v>
      </c>
      <c r="B149" s="74">
        <v>46120.0</v>
      </c>
      <c r="C149" s="75" t="s">
        <v>478</v>
      </c>
      <c r="D149" s="75" t="s">
        <v>767</v>
      </c>
      <c r="E149" s="75" t="s">
        <v>806</v>
      </c>
      <c r="F149" s="75">
        <v>35.0</v>
      </c>
      <c r="G149" s="75" t="s">
        <v>807</v>
      </c>
      <c r="H149" s="76" t="s">
        <v>808</v>
      </c>
    </row>
    <row r="150">
      <c r="A150" s="79">
        <v>149.0</v>
      </c>
      <c r="B150" s="80">
        <v>46120.0</v>
      </c>
      <c r="C150" s="81" t="s">
        <v>444</v>
      </c>
      <c r="D150" s="81" t="s">
        <v>780</v>
      </c>
      <c r="E150" s="81" t="s">
        <v>805</v>
      </c>
      <c r="F150" s="81">
        <v>49.0</v>
      </c>
      <c r="G150" s="82"/>
      <c r="H150" s="82"/>
    </row>
    <row r="151">
      <c r="A151" s="79">
        <v>150.0</v>
      </c>
      <c r="B151" s="80">
        <v>46120.0</v>
      </c>
      <c r="C151" s="81" t="s">
        <v>472</v>
      </c>
      <c r="D151" s="81" t="s">
        <v>803</v>
      </c>
      <c r="E151" s="81" t="s">
        <v>804</v>
      </c>
      <c r="F151" s="81">
        <v>16.0</v>
      </c>
      <c r="G151" s="82"/>
      <c r="H151" s="83" t="s">
        <v>809</v>
      </c>
    </row>
    <row r="152">
      <c r="A152" s="79">
        <v>151.0</v>
      </c>
      <c r="B152" s="80">
        <v>46120.0</v>
      </c>
      <c r="C152" s="81" t="s">
        <v>441</v>
      </c>
      <c r="D152" s="81" t="s">
        <v>810</v>
      </c>
      <c r="E152" s="81" t="s">
        <v>811</v>
      </c>
      <c r="F152" s="81">
        <v>32.0</v>
      </c>
      <c r="G152" s="81" t="s">
        <v>812</v>
      </c>
      <c r="H152" s="83" t="s">
        <v>787</v>
      </c>
    </row>
    <row r="153">
      <c r="A153" s="44">
        <v>152.0</v>
      </c>
      <c r="B153" s="45">
        <v>46121.0</v>
      </c>
      <c r="C153" s="46" t="s">
        <v>441</v>
      </c>
      <c r="D153" s="46" t="s">
        <v>813</v>
      </c>
      <c r="E153" s="46" t="s">
        <v>243</v>
      </c>
      <c r="F153" s="46">
        <v>0.0</v>
      </c>
      <c r="G153" s="46" t="s">
        <v>814</v>
      </c>
      <c r="H153" s="84" t="s">
        <v>815</v>
      </c>
    </row>
    <row r="154">
      <c r="A154" s="44">
        <v>153.0</v>
      </c>
      <c r="B154" s="45">
        <v>46121.0</v>
      </c>
      <c r="C154" s="46" t="s">
        <v>452</v>
      </c>
      <c r="D154" s="46" t="s">
        <v>791</v>
      </c>
      <c r="E154" s="46" t="s">
        <v>454</v>
      </c>
      <c r="F154" s="46">
        <v>35.0</v>
      </c>
      <c r="G154" s="47"/>
      <c r="H154" s="84" t="s">
        <v>816</v>
      </c>
    </row>
    <row r="155">
      <c r="A155" s="44">
        <v>154.0</v>
      </c>
      <c r="B155" s="45">
        <v>46121.0</v>
      </c>
      <c r="C155" s="46" t="s">
        <v>444</v>
      </c>
      <c r="D155" s="46" t="s">
        <v>817</v>
      </c>
      <c r="E155" s="46" t="s">
        <v>818</v>
      </c>
      <c r="F155" s="46">
        <v>0.0</v>
      </c>
      <c r="G155" s="46" t="s">
        <v>819</v>
      </c>
      <c r="H155" s="47"/>
    </row>
    <row r="156">
      <c r="A156" s="44">
        <v>155.0</v>
      </c>
      <c r="B156" s="45">
        <v>46121.0</v>
      </c>
      <c r="C156" s="46" t="s">
        <v>448</v>
      </c>
      <c r="D156" s="46" t="s">
        <v>788</v>
      </c>
      <c r="E156" s="46" t="s">
        <v>820</v>
      </c>
      <c r="F156" s="46">
        <v>46.0</v>
      </c>
      <c r="G156" s="47"/>
      <c r="H156" s="84">
        <v>1.0</v>
      </c>
    </row>
    <row r="157">
      <c r="A157" s="44">
        <v>156.0</v>
      </c>
      <c r="B157" s="45">
        <v>46121.0</v>
      </c>
      <c r="C157" s="46" t="s">
        <v>520</v>
      </c>
      <c r="D157" s="47"/>
      <c r="E157" s="46" t="s">
        <v>821</v>
      </c>
      <c r="F157" s="46">
        <v>35.0</v>
      </c>
      <c r="G157" s="47"/>
      <c r="H157" s="84">
        <v>35.0</v>
      </c>
    </row>
    <row r="158">
      <c r="A158" s="44">
        <v>157.0</v>
      </c>
      <c r="B158" s="45">
        <v>46121.0</v>
      </c>
      <c r="C158" s="46" t="s">
        <v>463</v>
      </c>
      <c r="D158" s="46" t="s">
        <v>822</v>
      </c>
      <c r="E158" s="46" t="s">
        <v>823</v>
      </c>
      <c r="F158" s="46">
        <v>36.0</v>
      </c>
      <c r="G158" s="46" t="s">
        <v>824</v>
      </c>
      <c r="H158" s="85" t="s">
        <v>825</v>
      </c>
    </row>
    <row r="159">
      <c r="A159" s="44">
        <v>158.0</v>
      </c>
      <c r="B159" s="45">
        <v>46121.0</v>
      </c>
      <c r="C159" s="46" t="s">
        <v>463</v>
      </c>
      <c r="D159" s="46" t="s">
        <v>822</v>
      </c>
      <c r="E159" s="46" t="s">
        <v>823</v>
      </c>
      <c r="F159" s="46">
        <v>36.0</v>
      </c>
      <c r="G159" s="46" t="s">
        <v>824</v>
      </c>
      <c r="H159" s="85" t="s">
        <v>826</v>
      </c>
    </row>
    <row r="160">
      <c r="A160" s="44">
        <v>159.0</v>
      </c>
      <c r="B160" s="45">
        <v>46121.0</v>
      </c>
      <c r="C160" s="46" t="s">
        <v>468</v>
      </c>
      <c r="D160" s="46" t="s">
        <v>358</v>
      </c>
      <c r="E160" s="46" t="s">
        <v>827</v>
      </c>
      <c r="F160" s="46">
        <v>60.0</v>
      </c>
      <c r="G160" s="47"/>
      <c r="H160" s="84" t="s">
        <v>828</v>
      </c>
    </row>
    <row r="161">
      <c r="A161" s="44">
        <v>160.0</v>
      </c>
      <c r="B161" s="45">
        <v>46121.0</v>
      </c>
      <c r="C161" s="46" t="s">
        <v>472</v>
      </c>
      <c r="D161" s="46" t="s">
        <v>829</v>
      </c>
      <c r="E161" s="46" t="s">
        <v>830</v>
      </c>
      <c r="F161" s="46">
        <v>36.0</v>
      </c>
      <c r="G161" s="47"/>
      <c r="H161" s="84" t="s">
        <v>10</v>
      </c>
    </row>
    <row r="162">
      <c r="A162" s="44">
        <v>161.0</v>
      </c>
      <c r="B162" s="45">
        <v>46121.0</v>
      </c>
      <c r="C162" s="46" t="s">
        <v>459</v>
      </c>
      <c r="D162" s="46" t="s">
        <v>831</v>
      </c>
      <c r="E162" s="46" t="s">
        <v>617</v>
      </c>
      <c r="F162" s="46">
        <v>0.0</v>
      </c>
      <c r="G162" s="46" t="s">
        <v>832</v>
      </c>
      <c r="H162" s="47"/>
    </row>
    <row r="163">
      <c r="A163" s="44">
        <v>162.0</v>
      </c>
      <c r="B163" s="45">
        <v>46121.0</v>
      </c>
      <c r="C163" s="46" t="s">
        <v>459</v>
      </c>
      <c r="D163" s="46" t="s">
        <v>831</v>
      </c>
      <c r="E163" s="46" t="s">
        <v>617</v>
      </c>
      <c r="F163" s="46">
        <v>0.0</v>
      </c>
      <c r="G163" s="46" t="s">
        <v>832</v>
      </c>
      <c r="H163" s="47"/>
    </row>
    <row r="164">
      <c r="A164" s="44">
        <v>163.0</v>
      </c>
      <c r="B164" s="45">
        <v>46121.0</v>
      </c>
      <c r="C164" s="46" t="s">
        <v>478</v>
      </c>
      <c r="D164" s="46" t="s">
        <v>767</v>
      </c>
      <c r="E164" s="46" t="s">
        <v>833</v>
      </c>
      <c r="F164" s="46">
        <v>36.0</v>
      </c>
      <c r="G164" s="46" t="s">
        <v>834</v>
      </c>
      <c r="H164" s="84" t="s">
        <v>835</v>
      </c>
    </row>
    <row r="165">
      <c r="A165" s="44">
        <v>164.0</v>
      </c>
      <c r="B165" s="45">
        <v>46121.0</v>
      </c>
      <c r="C165" s="46" t="s">
        <v>444</v>
      </c>
      <c r="D165" s="47"/>
      <c r="E165" s="46" t="s">
        <v>836</v>
      </c>
      <c r="F165" s="46">
        <v>0.0</v>
      </c>
      <c r="G165" s="46" t="s">
        <v>720</v>
      </c>
      <c r="H165" s="47"/>
    </row>
    <row r="166">
      <c r="A166" s="73">
        <v>165.0</v>
      </c>
      <c r="B166" s="74">
        <v>46122.0</v>
      </c>
      <c r="C166" s="75" t="s">
        <v>441</v>
      </c>
      <c r="D166" s="75" t="s">
        <v>837</v>
      </c>
      <c r="E166" s="75" t="s">
        <v>736</v>
      </c>
      <c r="F166" s="75">
        <v>35.0</v>
      </c>
      <c r="G166" s="78"/>
      <c r="H166" s="76" t="s">
        <v>838</v>
      </c>
    </row>
    <row r="167">
      <c r="A167" s="73">
        <v>166.0</v>
      </c>
      <c r="B167" s="74">
        <v>46122.0</v>
      </c>
      <c r="C167" s="75" t="s">
        <v>459</v>
      </c>
      <c r="D167" s="75" t="s">
        <v>839</v>
      </c>
      <c r="E167" s="75" t="s">
        <v>840</v>
      </c>
      <c r="F167" s="75">
        <v>35.0</v>
      </c>
      <c r="G167" s="75" t="s">
        <v>841</v>
      </c>
      <c r="H167" s="76" t="s">
        <v>842</v>
      </c>
    </row>
    <row r="168">
      <c r="A168" s="73">
        <v>167.0</v>
      </c>
      <c r="B168" s="74">
        <v>46122.0</v>
      </c>
      <c r="C168" s="75" t="s">
        <v>452</v>
      </c>
      <c r="D168" s="75" t="s">
        <v>754</v>
      </c>
      <c r="E168" s="75" t="s">
        <v>843</v>
      </c>
      <c r="F168" s="75">
        <v>20.0</v>
      </c>
      <c r="G168" s="78"/>
      <c r="H168" s="76" t="s">
        <v>844</v>
      </c>
    </row>
    <row r="169">
      <c r="A169" s="73">
        <v>168.0</v>
      </c>
      <c r="B169" s="74">
        <v>46122.0</v>
      </c>
      <c r="C169" s="75" t="s">
        <v>463</v>
      </c>
      <c r="D169" s="75" t="s">
        <v>822</v>
      </c>
      <c r="E169" s="75" t="s">
        <v>845</v>
      </c>
      <c r="F169" s="75">
        <v>35.0</v>
      </c>
      <c r="G169" s="75" t="s">
        <v>846</v>
      </c>
      <c r="H169" s="77" t="s">
        <v>847</v>
      </c>
    </row>
    <row r="170">
      <c r="A170" s="73">
        <v>169.0</v>
      </c>
      <c r="B170" s="74">
        <v>46122.0</v>
      </c>
      <c r="C170" s="75" t="s">
        <v>463</v>
      </c>
      <c r="D170" s="75" t="s">
        <v>822</v>
      </c>
      <c r="E170" s="75" t="s">
        <v>845</v>
      </c>
      <c r="F170" s="75">
        <v>35.0</v>
      </c>
      <c r="G170" s="75" t="s">
        <v>846</v>
      </c>
      <c r="H170" s="77" t="s">
        <v>848</v>
      </c>
    </row>
    <row r="171">
      <c r="A171" s="73">
        <v>170.0</v>
      </c>
      <c r="B171" s="74">
        <v>46122.0</v>
      </c>
      <c r="C171" s="75" t="s">
        <v>520</v>
      </c>
      <c r="D171" s="75" t="s">
        <v>760</v>
      </c>
      <c r="E171" s="75" t="s">
        <v>821</v>
      </c>
      <c r="F171" s="75">
        <v>35.0</v>
      </c>
      <c r="G171" s="78"/>
      <c r="H171" s="76" t="s">
        <v>760</v>
      </c>
    </row>
    <row r="172">
      <c r="A172" s="73">
        <v>171.0</v>
      </c>
      <c r="B172" s="74">
        <v>46122.0</v>
      </c>
      <c r="C172" s="75" t="s">
        <v>468</v>
      </c>
      <c r="D172" s="75" t="s">
        <v>367</v>
      </c>
      <c r="E172" s="75" t="s">
        <v>849</v>
      </c>
      <c r="F172" s="75">
        <v>37.0</v>
      </c>
      <c r="G172" s="78" t="str">
        <v>#ERROR!</v>
      </c>
      <c r="H172" s="76" t="s">
        <v>850</v>
      </c>
    </row>
    <row r="173">
      <c r="A173" s="73">
        <v>172.0</v>
      </c>
      <c r="B173" s="74">
        <v>46122.0</v>
      </c>
      <c r="C173" s="75" t="s">
        <v>472</v>
      </c>
      <c r="D173" s="75" t="s">
        <v>788</v>
      </c>
      <c r="E173" s="75" t="s">
        <v>851</v>
      </c>
      <c r="F173" s="75">
        <v>72.0</v>
      </c>
      <c r="G173" s="78"/>
      <c r="H173" s="76" t="s">
        <v>10</v>
      </c>
    </row>
    <row r="174">
      <c r="A174" s="73">
        <v>173.0</v>
      </c>
      <c r="B174" s="74">
        <v>46122.0</v>
      </c>
      <c r="C174" s="75" t="s">
        <v>444</v>
      </c>
      <c r="D174" s="75" t="s">
        <v>852</v>
      </c>
      <c r="E174" s="75" t="s">
        <v>450</v>
      </c>
      <c r="F174" s="75">
        <v>35.0</v>
      </c>
      <c r="G174" s="75" t="s">
        <v>853</v>
      </c>
      <c r="H174" s="76" t="s">
        <v>773</v>
      </c>
    </row>
    <row r="175">
      <c r="A175" s="73">
        <v>174.0</v>
      </c>
      <c r="B175" s="74">
        <v>46122.0</v>
      </c>
      <c r="C175" s="75" t="s">
        <v>478</v>
      </c>
      <c r="D175" s="75" t="s">
        <v>767</v>
      </c>
      <c r="E175" s="75" t="s">
        <v>854</v>
      </c>
      <c r="F175" s="75">
        <v>29.0</v>
      </c>
      <c r="G175" s="75" t="s">
        <v>855</v>
      </c>
      <c r="H175" s="76" t="s">
        <v>856</v>
      </c>
    </row>
    <row r="176">
      <c r="A176" s="31">
        <v>175.0</v>
      </c>
      <c r="B176" s="35">
        <v>46122.0</v>
      </c>
      <c r="C176" s="36" t="s">
        <v>448</v>
      </c>
      <c r="D176" s="36" t="s">
        <v>788</v>
      </c>
      <c r="E176" s="36" t="s">
        <v>857</v>
      </c>
      <c r="F176" s="36">
        <v>84.0</v>
      </c>
      <c r="H176" s="86">
        <v>1.0</v>
      </c>
    </row>
    <row r="177">
      <c r="A177" s="31">
        <v>176.0</v>
      </c>
      <c r="B177" s="35">
        <v>46123.0</v>
      </c>
      <c r="C177" s="36" t="s">
        <v>444</v>
      </c>
      <c r="D177" s="36" t="s">
        <v>858</v>
      </c>
      <c r="E177" s="36" t="s">
        <v>527</v>
      </c>
      <c r="F177" s="36">
        <v>35.0</v>
      </c>
    </row>
    <row r="178">
      <c r="A178" s="31">
        <v>177.0</v>
      </c>
      <c r="B178" s="35">
        <v>46123.0</v>
      </c>
      <c r="C178" s="36" t="s">
        <v>463</v>
      </c>
      <c r="D178" s="36" t="s">
        <v>859</v>
      </c>
      <c r="E178" s="36" t="s">
        <v>860</v>
      </c>
      <c r="F178" s="36">
        <v>35.0</v>
      </c>
      <c r="G178" s="36" t="s">
        <v>861</v>
      </c>
      <c r="H178" s="38" t="s">
        <v>862</v>
      </c>
    </row>
    <row r="179">
      <c r="A179" s="31">
        <v>178.0</v>
      </c>
      <c r="B179" s="35">
        <v>46123.0</v>
      </c>
      <c r="C179" s="36" t="s">
        <v>463</v>
      </c>
      <c r="D179" s="36" t="s">
        <v>859</v>
      </c>
      <c r="E179" s="36" t="s">
        <v>860</v>
      </c>
      <c r="F179" s="36">
        <v>35.0</v>
      </c>
      <c r="G179" s="36" t="s">
        <v>861</v>
      </c>
      <c r="H179" s="38" t="s">
        <v>863</v>
      </c>
    </row>
    <row r="180">
      <c r="A180" s="31">
        <v>179.0</v>
      </c>
      <c r="B180" s="35">
        <v>46123.0</v>
      </c>
      <c r="C180" s="36" t="s">
        <v>478</v>
      </c>
      <c r="D180" s="36" t="s">
        <v>864</v>
      </c>
      <c r="E180" s="36" t="s">
        <v>865</v>
      </c>
      <c r="F180" s="36">
        <v>28.0</v>
      </c>
      <c r="G180" s="36" t="s">
        <v>866</v>
      </c>
      <c r="H180" s="86" t="s">
        <v>866</v>
      </c>
    </row>
  </sheetData>
  <hyperlinks>
    <hyperlink r:id="rId1" ref="H3"/>
    <hyperlink r:id="rId2" ref="H4"/>
    <hyperlink r:id="rId3" ref="H5"/>
    <hyperlink r:id="rId4" ref="H6"/>
    <hyperlink r:id="rId5" ref="H7"/>
    <hyperlink r:id="rId6" ref="H8"/>
    <hyperlink r:id="rId7" ref="H9"/>
    <hyperlink r:id="rId8" ref="H10"/>
    <hyperlink r:id="rId9" ref="H11"/>
    <hyperlink r:id="rId10" ref="H13"/>
    <hyperlink r:id="rId11" ref="H14"/>
    <hyperlink r:id="rId12" ref="H15"/>
    <hyperlink r:id="rId13" ref="H16"/>
    <hyperlink r:id="rId14" ref="H17"/>
    <hyperlink r:id="rId15" ref="H20"/>
    <hyperlink r:id="rId16" ref="H21"/>
    <hyperlink r:id="rId17" ref="H22"/>
    <hyperlink r:id="rId18" ref="H23"/>
    <hyperlink r:id="rId19" ref="H24"/>
    <hyperlink r:id="rId20" ref="H26"/>
    <hyperlink r:id="rId21" ref="H29"/>
    <hyperlink r:id="rId22" ref="H30"/>
    <hyperlink r:id="rId23" ref="H33"/>
    <hyperlink r:id="rId24" ref="H34"/>
    <hyperlink r:id="rId25" ref="H36"/>
    <hyperlink r:id="rId26" ref="H37"/>
    <hyperlink r:id="rId27" ref="H38"/>
    <hyperlink r:id="rId28" ref="H39"/>
    <hyperlink r:id="rId29" ref="H42"/>
    <hyperlink r:id="rId30" ref="H43"/>
    <hyperlink r:id="rId31" ref="H44"/>
    <hyperlink r:id="rId32" ref="H45"/>
    <hyperlink r:id="rId33" ref="H46"/>
    <hyperlink r:id="rId34" ref="H47"/>
    <hyperlink r:id="rId35" ref="H49"/>
    <hyperlink r:id="rId36" ref="H50"/>
    <hyperlink r:id="rId37" ref="H51"/>
    <hyperlink r:id="rId38" ref="H52"/>
    <hyperlink r:id="rId39" ref="H54"/>
    <hyperlink r:id="rId40" ref="H55"/>
    <hyperlink r:id="rId41" ref="H56"/>
    <hyperlink r:id="rId42" ref="H57"/>
    <hyperlink r:id="rId43" ref="H58"/>
    <hyperlink r:id="rId44" ref="H59"/>
    <hyperlink r:id="rId45" ref="H60"/>
    <hyperlink r:id="rId46" ref="H61"/>
    <hyperlink r:id="rId47" ref="H62"/>
    <hyperlink r:id="rId48" ref="H63"/>
    <hyperlink r:id="rId49" ref="H64"/>
    <hyperlink r:id="rId50" ref="H65"/>
    <hyperlink r:id="rId51" ref="H66"/>
    <hyperlink r:id="rId52" ref="H67"/>
    <hyperlink r:id="rId53" ref="H70"/>
    <hyperlink r:id="rId54" ref="H73"/>
    <hyperlink r:id="rId55" ref="H75"/>
    <hyperlink r:id="rId56" ref="H76"/>
    <hyperlink r:id="rId57" ref="H77"/>
    <hyperlink r:id="rId58" ref="H78"/>
    <hyperlink r:id="rId59" ref="H81"/>
    <hyperlink r:id="rId60" ref="H83"/>
    <hyperlink r:id="rId61" ref="H84"/>
    <hyperlink r:id="rId62" ref="H85"/>
    <hyperlink r:id="rId63" ref="H88"/>
    <hyperlink r:id="rId64" ref="H89"/>
    <hyperlink r:id="rId65" ref="H90"/>
    <hyperlink r:id="rId66" ref="H91"/>
    <hyperlink r:id="rId67" ref="H92"/>
    <hyperlink r:id="rId68" ref="H93"/>
    <hyperlink r:id="rId69" ref="H94"/>
    <hyperlink r:id="rId70" ref="H95"/>
    <hyperlink r:id="rId71" ref="H96"/>
    <hyperlink r:id="rId72" ref="H97"/>
    <hyperlink r:id="rId73" ref="H98"/>
    <hyperlink r:id="rId74" ref="H99"/>
    <hyperlink r:id="rId75" ref="H100"/>
    <hyperlink r:id="rId76" ref="H101"/>
    <hyperlink r:id="rId77" ref="H102"/>
    <hyperlink r:id="rId78" ref="H103"/>
    <hyperlink r:id="rId79" ref="H104"/>
    <hyperlink r:id="rId80" ref="H105"/>
    <hyperlink r:id="rId81" ref="H106"/>
    <hyperlink r:id="rId82" ref="H107"/>
    <hyperlink r:id="rId83" ref="H108"/>
    <hyperlink r:id="rId84" ref="H109"/>
    <hyperlink r:id="rId85" ref="H110"/>
    <hyperlink r:id="rId86" ref="H112"/>
    <hyperlink r:id="rId87" ref="H113"/>
    <hyperlink r:id="rId88" ref="H114"/>
    <hyperlink r:id="rId89" ref="H115"/>
    <hyperlink r:id="rId90" ref="H116"/>
    <hyperlink r:id="rId91" ref="H117"/>
    <hyperlink r:id="rId92" ref="H118"/>
    <hyperlink r:id="rId93" ref="H119"/>
    <hyperlink r:id="rId94" ref="H120"/>
    <hyperlink r:id="rId95" ref="H121"/>
    <hyperlink r:id="rId96" ref="H122"/>
    <hyperlink r:id="rId97" ref="H123"/>
    <hyperlink r:id="rId98" ref="H124"/>
    <hyperlink r:id="rId99" ref="H125"/>
    <hyperlink r:id="rId100" ref="H126"/>
    <hyperlink r:id="rId101" ref="H127"/>
    <hyperlink r:id="rId102" ref="H129"/>
    <hyperlink r:id="rId103" ref="H130"/>
    <hyperlink r:id="rId104" ref="H131"/>
    <hyperlink r:id="rId105" ref="H132"/>
    <hyperlink r:id="rId106" ref="H133"/>
    <hyperlink r:id="rId107" ref="H134"/>
    <hyperlink r:id="rId108" ref="H135"/>
    <hyperlink r:id="rId109" ref="H137"/>
    <hyperlink r:id="rId110" ref="H138"/>
    <hyperlink r:id="rId111" ref="H139"/>
    <hyperlink r:id="rId112" ref="H141"/>
    <hyperlink r:id="rId113" ref="H142"/>
    <hyperlink r:id="rId114" ref="H143"/>
    <hyperlink r:id="rId115" ref="H144"/>
    <hyperlink r:id="rId116" ref="H145"/>
    <hyperlink r:id="rId117" ref="H146"/>
    <hyperlink r:id="rId118" ref="H147"/>
    <hyperlink r:id="rId119" ref="H148"/>
    <hyperlink r:id="rId120" ref="H149"/>
    <hyperlink r:id="rId121" ref="H151"/>
    <hyperlink r:id="rId122" ref="H152"/>
    <hyperlink r:id="rId123" ref="H153"/>
    <hyperlink r:id="rId124" ref="H154"/>
    <hyperlink r:id="rId125" ref="H156"/>
    <hyperlink r:id="rId126" ref="H157"/>
    <hyperlink r:id="rId127" ref="H158"/>
    <hyperlink r:id="rId128" ref="H159"/>
    <hyperlink r:id="rId129" ref="H160"/>
    <hyperlink r:id="rId130" ref="H161"/>
    <hyperlink r:id="rId131" ref="H164"/>
    <hyperlink r:id="rId132" ref="H166"/>
    <hyperlink r:id="rId133" ref="H167"/>
    <hyperlink r:id="rId134" ref="H168"/>
    <hyperlink r:id="rId135" ref="H169"/>
    <hyperlink r:id="rId136" ref="H170"/>
    <hyperlink r:id="rId137" ref="H171"/>
    <hyperlink r:id="rId138" ref="H172"/>
    <hyperlink r:id="rId139" ref="H173"/>
    <hyperlink r:id="rId140" ref="H174"/>
    <hyperlink r:id="rId141" ref="H175"/>
    <hyperlink r:id="rId142" ref="H176"/>
    <hyperlink r:id="rId143" ref="H178"/>
    <hyperlink r:id="rId144" ref="H179"/>
    <hyperlink r:id="rId145" ref="H180"/>
  </hyperlinks>
  <drawing r:id="rId14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25"/>
    <col customWidth="1" min="4" max="4" width="24.5"/>
    <col customWidth="1" min="5" max="6" width="24.0"/>
    <col customWidth="1" min="7" max="7" width="21.0"/>
    <col customWidth="1" min="9" max="9" width="74.88"/>
  </cols>
  <sheetData>
    <row r="1">
      <c r="A1" s="30" t="s">
        <v>369</v>
      </c>
      <c r="B1" s="30" t="s">
        <v>370</v>
      </c>
      <c r="C1" s="30" t="s">
        <v>371</v>
      </c>
      <c r="D1" s="30" t="s">
        <v>372</v>
      </c>
      <c r="E1" s="30" t="s">
        <v>373</v>
      </c>
      <c r="F1" s="30" t="s">
        <v>5</v>
      </c>
      <c r="G1" s="30" t="s">
        <v>374</v>
      </c>
      <c r="H1" s="30" t="s">
        <v>375</v>
      </c>
      <c r="I1" s="30" t="s">
        <v>376</v>
      </c>
    </row>
    <row r="2">
      <c r="A2" s="36" t="s">
        <v>867</v>
      </c>
      <c r="B2" s="87">
        <v>46105.0</v>
      </c>
      <c r="C2" s="36" t="s">
        <v>868</v>
      </c>
      <c r="D2" s="88">
        <v>0.3645833333333333</v>
      </c>
      <c r="E2" s="88">
        <v>0.3680555555555556</v>
      </c>
      <c r="F2" s="88"/>
      <c r="G2" s="36">
        <v>384.09</v>
      </c>
      <c r="H2" s="36" t="s">
        <v>381</v>
      </c>
      <c r="I2" s="36" t="s">
        <v>869</v>
      </c>
    </row>
    <row r="3">
      <c r="A3" s="36" t="s">
        <v>870</v>
      </c>
      <c r="B3" s="87">
        <v>46105.0</v>
      </c>
      <c r="C3" s="36" t="s">
        <v>448</v>
      </c>
      <c r="D3" s="88">
        <v>0.36527777777777776</v>
      </c>
      <c r="E3" s="88">
        <v>0.7451388888888889</v>
      </c>
      <c r="F3" s="88">
        <v>35.0</v>
      </c>
      <c r="G3" s="36">
        <v>393.12</v>
      </c>
      <c r="H3" s="36" t="s">
        <v>381</v>
      </c>
      <c r="I3" s="36" t="s">
        <v>871</v>
      </c>
    </row>
    <row r="4">
      <c r="A4" s="36" t="s">
        <v>872</v>
      </c>
      <c r="B4" s="87">
        <v>46105.0</v>
      </c>
      <c r="C4" s="36" t="s">
        <v>463</v>
      </c>
      <c r="D4" s="88">
        <v>0.36666666666666664</v>
      </c>
      <c r="E4" s="88">
        <v>0.36527777777777776</v>
      </c>
      <c r="F4" s="88">
        <v>70.0</v>
      </c>
      <c r="G4" s="36">
        <v>431.97</v>
      </c>
      <c r="H4" s="36" t="s">
        <v>381</v>
      </c>
      <c r="I4" s="36" t="s">
        <v>873</v>
      </c>
    </row>
    <row r="5">
      <c r="A5" s="36" t="s">
        <v>874</v>
      </c>
      <c r="B5" s="87">
        <v>46105.0</v>
      </c>
      <c r="C5" s="36" t="s">
        <v>478</v>
      </c>
      <c r="D5" s="88">
        <v>0.3680555555555556</v>
      </c>
      <c r="H5" s="36" t="s">
        <v>381</v>
      </c>
      <c r="I5" s="36" t="s">
        <v>875</v>
      </c>
    </row>
    <row r="6">
      <c r="A6" s="36" t="s">
        <v>876</v>
      </c>
      <c r="B6" s="87">
        <v>46105.0</v>
      </c>
      <c r="C6" s="36" t="s">
        <v>478</v>
      </c>
      <c r="D6" s="88">
        <v>0.36875</v>
      </c>
      <c r="E6" s="88">
        <v>0.36875</v>
      </c>
      <c r="F6" s="88"/>
      <c r="G6" s="36">
        <v>0.0</v>
      </c>
      <c r="H6" s="36" t="s">
        <v>381</v>
      </c>
      <c r="I6" s="36" t="s">
        <v>875</v>
      </c>
    </row>
    <row r="7">
      <c r="A7" s="36" t="s">
        <v>877</v>
      </c>
      <c r="B7" s="87">
        <v>46105.0</v>
      </c>
      <c r="C7" s="36" t="s">
        <v>478</v>
      </c>
      <c r="D7" s="88">
        <v>0.36875</v>
      </c>
      <c r="E7" s="88">
        <v>0.37430555555555556</v>
      </c>
      <c r="G7" s="36">
        <v>360.12</v>
      </c>
      <c r="H7" s="36" t="s">
        <v>381</v>
      </c>
      <c r="I7" s="36" t="s">
        <v>875</v>
      </c>
    </row>
    <row r="8">
      <c r="A8" s="36" t="s">
        <v>878</v>
      </c>
      <c r="B8" s="87">
        <v>46105.0</v>
      </c>
      <c r="C8" s="36" t="s">
        <v>441</v>
      </c>
      <c r="D8" s="88">
        <v>0.36944444444444446</v>
      </c>
      <c r="H8" s="36" t="s">
        <v>381</v>
      </c>
      <c r="I8" s="36" t="s">
        <v>879</v>
      </c>
    </row>
    <row r="9">
      <c r="A9" s="36" t="s">
        <v>880</v>
      </c>
      <c r="B9" s="87">
        <v>46105.0</v>
      </c>
      <c r="C9" s="36" t="s">
        <v>452</v>
      </c>
      <c r="D9" s="88">
        <v>0.3701388888888889</v>
      </c>
      <c r="E9" s="88">
        <v>0.7458333333333333</v>
      </c>
      <c r="F9" s="31">
        <v>35.0</v>
      </c>
      <c r="G9" s="36">
        <v>369.02</v>
      </c>
      <c r="H9" s="36" t="s">
        <v>381</v>
      </c>
      <c r="I9" s="36" t="s">
        <v>881</v>
      </c>
    </row>
    <row r="10">
      <c r="A10" s="36" t="s">
        <v>882</v>
      </c>
      <c r="B10" s="87">
        <v>46105.0</v>
      </c>
      <c r="C10" s="36" t="s">
        <v>472</v>
      </c>
      <c r="D10" s="88">
        <v>0.37430555555555556</v>
      </c>
      <c r="E10" s="88">
        <v>0.3923611111111111</v>
      </c>
      <c r="F10" s="31">
        <v>21.0</v>
      </c>
      <c r="G10" s="36">
        <v>360.44</v>
      </c>
      <c r="H10" s="36" t="s">
        <v>381</v>
      </c>
      <c r="I10" s="36" t="s">
        <v>883</v>
      </c>
    </row>
    <row r="11">
      <c r="A11" s="36" t="s">
        <v>884</v>
      </c>
      <c r="B11" s="87">
        <v>46105.0</v>
      </c>
      <c r="C11" s="36" t="s">
        <v>468</v>
      </c>
      <c r="D11" s="88">
        <v>0.3763888888888889</v>
      </c>
      <c r="H11" s="36" t="s">
        <v>381</v>
      </c>
    </row>
    <row r="12">
      <c r="A12" s="36" t="s">
        <v>885</v>
      </c>
      <c r="B12" s="87">
        <v>46105.0</v>
      </c>
      <c r="C12" s="36" t="s">
        <v>459</v>
      </c>
      <c r="D12" s="88">
        <v>0.37916666666666665</v>
      </c>
      <c r="H12" s="36" t="s">
        <v>381</v>
      </c>
      <c r="I12" s="36" t="s">
        <v>886</v>
      </c>
    </row>
    <row r="13">
      <c r="A13" s="36" t="s">
        <v>887</v>
      </c>
      <c r="B13" s="87">
        <v>46105.0</v>
      </c>
      <c r="C13" s="36" t="s">
        <v>441</v>
      </c>
      <c r="D13" s="88">
        <v>0.7486111111111111</v>
      </c>
      <c r="H13" s="36" t="s">
        <v>378</v>
      </c>
      <c r="I13" s="36" t="s">
        <v>888</v>
      </c>
    </row>
    <row r="14">
      <c r="A14" s="36" t="s">
        <v>889</v>
      </c>
      <c r="B14" s="87">
        <v>46105.0</v>
      </c>
      <c r="C14" s="36" t="s">
        <v>441</v>
      </c>
      <c r="D14" s="88">
        <v>0.7506944444444444</v>
      </c>
      <c r="E14" s="88">
        <v>0.3736111111111111</v>
      </c>
      <c r="F14" s="31">
        <v>35.0</v>
      </c>
      <c r="G14" s="36">
        <v>374.95</v>
      </c>
      <c r="H14" s="36" t="s">
        <v>378</v>
      </c>
    </row>
    <row r="15">
      <c r="A15" s="36" t="s">
        <v>890</v>
      </c>
      <c r="B15" s="87">
        <v>46105.0</v>
      </c>
      <c r="C15" s="36" t="s">
        <v>459</v>
      </c>
      <c r="D15" s="88">
        <v>0.7583333333333333</v>
      </c>
      <c r="E15" s="88">
        <v>0.7583333333333333</v>
      </c>
      <c r="F15" s="88"/>
      <c r="G15" s="36">
        <v>0.0</v>
      </c>
      <c r="H15" s="36" t="s">
        <v>378</v>
      </c>
      <c r="I15" s="36" t="s">
        <v>891</v>
      </c>
    </row>
    <row r="16">
      <c r="A16" s="36" t="s">
        <v>892</v>
      </c>
      <c r="B16" s="87">
        <v>46106.0</v>
      </c>
      <c r="C16" s="36" t="s">
        <v>448</v>
      </c>
      <c r="D16" s="88">
        <v>0.2916666666666667</v>
      </c>
      <c r="E16" s="88">
        <v>0.8770833333333333</v>
      </c>
      <c r="F16" s="88"/>
      <c r="G16" s="36">
        <v>14.05</v>
      </c>
      <c r="H16" s="36" t="s">
        <v>381</v>
      </c>
      <c r="I16" s="36" t="s">
        <v>893</v>
      </c>
    </row>
    <row r="17">
      <c r="A17" s="36" t="s">
        <v>894</v>
      </c>
      <c r="B17" s="87">
        <v>46106.0</v>
      </c>
      <c r="C17" s="36" t="s">
        <v>463</v>
      </c>
      <c r="D17" s="88">
        <v>0.33611111111111114</v>
      </c>
      <c r="H17" s="36" t="s">
        <v>381</v>
      </c>
      <c r="I17" s="36" t="s">
        <v>895</v>
      </c>
    </row>
    <row r="18">
      <c r="A18" s="36" t="s">
        <v>896</v>
      </c>
      <c r="B18" s="87">
        <v>46106.0</v>
      </c>
      <c r="C18" s="36" t="s">
        <v>463</v>
      </c>
      <c r="D18" s="88">
        <v>0.3368055555555556</v>
      </c>
      <c r="E18" s="88">
        <v>0.36527777777777776</v>
      </c>
      <c r="F18" s="31">
        <v>20.0</v>
      </c>
      <c r="G18" s="36">
        <v>408.69</v>
      </c>
      <c r="H18" s="36" t="s">
        <v>381</v>
      </c>
      <c r="I18" s="36" t="s">
        <v>897</v>
      </c>
    </row>
    <row r="19">
      <c r="A19" s="36" t="s">
        <v>898</v>
      </c>
      <c r="B19" s="87">
        <v>46106.0</v>
      </c>
      <c r="C19" s="36" t="s">
        <v>452</v>
      </c>
      <c r="D19" s="88">
        <v>0.35</v>
      </c>
      <c r="H19" s="36" t="s">
        <v>381</v>
      </c>
      <c r="I19" s="36" t="s">
        <v>899</v>
      </c>
    </row>
    <row r="20">
      <c r="A20" s="36" t="s">
        <v>900</v>
      </c>
      <c r="B20" s="87">
        <v>46106.0</v>
      </c>
      <c r="C20" s="36" t="s">
        <v>452</v>
      </c>
      <c r="D20" s="88">
        <v>0.3506944444444444</v>
      </c>
      <c r="E20" s="88">
        <v>0.7465277777777778</v>
      </c>
      <c r="F20" s="88"/>
      <c r="G20" s="36">
        <v>9.5</v>
      </c>
      <c r="H20" s="36" t="s">
        <v>381</v>
      </c>
      <c r="I20" s="36" t="s">
        <v>901</v>
      </c>
    </row>
    <row r="21">
      <c r="A21" s="36" t="s">
        <v>902</v>
      </c>
      <c r="B21" s="87">
        <v>46106.0</v>
      </c>
      <c r="C21" s="36" t="s">
        <v>452</v>
      </c>
      <c r="D21" s="88">
        <v>0.35138888888888886</v>
      </c>
      <c r="H21" s="36" t="s">
        <v>381</v>
      </c>
      <c r="I21" s="36" t="s">
        <v>903</v>
      </c>
    </row>
    <row r="22">
      <c r="A22" s="36" t="s">
        <v>904</v>
      </c>
      <c r="B22" s="87">
        <v>46106.0</v>
      </c>
      <c r="C22" s="36" t="s">
        <v>452</v>
      </c>
      <c r="D22" s="88">
        <v>0.35208333333333336</v>
      </c>
      <c r="H22" s="36" t="s">
        <v>381</v>
      </c>
      <c r="I22" s="36" t="s">
        <v>899</v>
      </c>
    </row>
    <row r="23">
      <c r="A23" s="36" t="s">
        <v>905</v>
      </c>
      <c r="B23" s="87">
        <v>46106.0</v>
      </c>
      <c r="C23" s="36" t="s">
        <v>452</v>
      </c>
      <c r="D23" s="88">
        <v>0.3527777777777778</v>
      </c>
      <c r="H23" s="36" t="s">
        <v>381</v>
      </c>
      <c r="I23" s="36" t="s">
        <v>906</v>
      </c>
    </row>
    <row r="24">
      <c r="A24" s="36" t="s">
        <v>907</v>
      </c>
      <c r="B24" s="87">
        <v>46106.0</v>
      </c>
      <c r="C24" s="36" t="s">
        <v>441</v>
      </c>
      <c r="D24" s="88">
        <v>0.3548611111111111</v>
      </c>
      <c r="H24" s="36" t="s">
        <v>381</v>
      </c>
      <c r="I24" s="36" t="s">
        <v>908</v>
      </c>
    </row>
    <row r="25">
      <c r="A25" s="36" t="s">
        <v>909</v>
      </c>
      <c r="B25" s="87">
        <v>46106.0</v>
      </c>
      <c r="C25" s="36" t="s">
        <v>444</v>
      </c>
      <c r="D25" s="88">
        <v>0.35694444444444445</v>
      </c>
      <c r="E25" s="88">
        <v>0.7569444444444444</v>
      </c>
      <c r="F25" s="88"/>
      <c r="G25" s="36">
        <v>9.59</v>
      </c>
      <c r="H25" s="36" t="s">
        <v>381</v>
      </c>
      <c r="I25" s="36" t="s">
        <v>910</v>
      </c>
    </row>
    <row r="26">
      <c r="A26" s="36" t="s">
        <v>911</v>
      </c>
      <c r="B26" s="87">
        <v>46106.0</v>
      </c>
      <c r="C26" s="36" t="s">
        <v>452</v>
      </c>
      <c r="D26" s="88">
        <v>0.3590277777777778</v>
      </c>
      <c r="H26" s="36" t="s">
        <v>381</v>
      </c>
      <c r="I26" s="36" t="s">
        <v>903</v>
      </c>
    </row>
    <row r="27">
      <c r="A27" s="36" t="s">
        <v>912</v>
      </c>
      <c r="B27" s="87">
        <v>46106.0</v>
      </c>
      <c r="C27" s="36" t="s">
        <v>452</v>
      </c>
      <c r="D27" s="88">
        <v>0.3625</v>
      </c>
      <c r="H27" s="36" t="s">
        <v>381</v>
      </c>
      <c r="I27" s="36" t="s">
        <v>913</v>
      </c>
    </row>
    <row r="28">
      <c r="A28" s="36" t="s">
        <v>914</v>
      </c>
      <c r="B28" s="87">
        <v>46106.0</v>
      </c>
      <c r="C28" s="36" t="s">
        <v>452</v>
      </c>
      <c r="D28" s="88">
        <v>0.3645833333333333</v>
      </c>
      <c r="H28" s="36" t="s">
        <v>381</v>
      </c>
      <c r="I28" s="36" t="s">
        <v>903</v>
      </c>
    </row>
    <row r="29">
      <c r="A29" s="36" t="s">
        <v>915</v>
      </c>
      <c r="B29" s="87">
        <v>46106.0</v>
      </c>
      <c r="C29" s="36" t="s">
        <v>452</v>
      </c>
      <c r="D29" s="88">
        <v>0.36527777777777776</v>
      </c>
      <c r="H29" s="36" t="s">
        <v>381</v>
      </c>
      <c r="I29" s="36" t="s">
        <v>903</v>
      </c>
    </row>
    <row r="30">
      <c r="A30" s="36" t="s">
        <v>916</v>
      </c>
      <c r="B30" s="87">
        <v>46106.0</v>
      </c>
      <c r="C30" s="36" t="s">
        <v>452</v>
      </c>
      <c r="D30" s="88">
        <v>0.36736111111111114</v>
      </c>
      <c r="H30" s="36" t="s">
        <v>381</v>
      </c>
      <c r="I30" s="36" t="s">
        <v>917</v>
      </c>
    </row>
    <row r="31">
      <c r="A31" s="36" t="s">
        <v>918</v>
      </c>
      <c r="B31" s="87">
        <v>46106.0</v>
      </c>
      <c r="C31" s="36" t="s">
        <v>459</v>
      </c>
      <c r="D31" s="88">
        <v>0.37083333333333335</v>
      </c>
      <c r="E31" s="88">
        <v>0.7923611111111111</v>
      </c>
      <c r="F31" s="31">
        <v>70.0</v>
      </c>
      <c r="G31" s="36">
        <v>370.11</v>
      </c>
      <c r="H31" s="36" t="s">
        <v>381</v>
      </c>
      <c r="I31" s="36" t="s">
        <v>919</v>
      </c>
    </row>
    <row r="32">
      <c r="A32" s="36" t="s">
        <v>920</v>
      </c>
      <c r="B32" s="87">
        <v>46106.0</v>
      </c>
      <c r="C32" s="36" t="s">
        <v>472</v>
      </c>
      <c r="D32" s="88">
        <v>0.39375</v>
      </c>
      <c r="E32" s="88">
        <v>0.775</v>
      </c>
      <c r="F32" s="88"/>
      <c r="G32" s="36">
        <v>9.15</v>
      </c>
      <c r="H32" s="36" t="s">
        <v>378</v>
      </c>
      <c r="I32" s="36" t="s">
        <v>921</v>
      </c>
    </row>
    <row r="33">
      <c r="A33" s="36" t="s">
        <v>922</v>
      </c>
      <c r="B33" s="87">
        <v>46106.0</v>
      </c>
      <c r="C33" s="36" t="s">
        <v>468</v>
      </c>
      <c r="D33" s="88">
        <v>0.39444444444444443</v>
      </c>
      <c r="H33" s="36" t="s">
        <v>378</v>
      </c>
      <c r="I33" s="36" t="s">
        <v>919</v>
      </c>
    </row>
    <row r="34">
      <c r="A34" s="36" t="s">
        <v>923</v>
      </c>
      <c r="B34" s="87">
        <v>46106.0</v>
      </c>
      <c r="C34" s="36" t="s">
        <v>478</v>
      </c>
      <c r="D34" s="88">
        <v>0.46319444444444446</v>
      </c>
      <c r="E34" s="88">
        <v>0.4666666666666667</v>
      </c>
      <c r="F34" s="88"/>
      <c r="G34" s="36">
        <v>0.09</v>
      </c>
      <c r="H34" s="36" t="s">
        <v>378</v>
      </c>
      <c r="I34" s="36" t="s">
        <v>924</v>
      </c>
    </row>
    <row r="35" ht="48.75" customHeight="1">
      <c r="A35" s="36" t="s">
        <v>925</v>
      </c>
      <c r="B35" s="87">
        <v>46106.0</v>
      </c>
      <c r="C35" s="36" t="s">
        <v>459</v>
      </c>
      <c r="D35" s="88">
        <v>0.7083333333333334</v>
      </c>
      <c r="E35" s="88">
        <v>0.7090277777777778</v>
      </c>
      <c r="F35" s="88"/>
      <c r="G35" s="36">
        <v>0.02</v>
      </c>
      <c r="H35" s="36" t="s">
        <v>378</v>
      </c>
      <c r="I35" s="36" t="s">
        <v>926</v>
      </c>
    </row>
    <row r="36">
      <c r="A36" s="36" t="s">
        <v>927</v>
      </c>
      <c r="B36" s="87">
        <v>46106.0</v>
      </c>
      <c r="C36" s="36" t="s">
        <v>441</v>
      </c>
      <c r="D36" s="88">
        <v>0.7138888888888889</v>
      </c>
      <c r="E36" s="88">
        <v>0.7152777777777778</v>
      </c>
      <c r="F36" s="88"/>
      <c r="G36" s="36">
        <v>0.03</v>
      </c>
      <c r="H36" s="36" t="s">
        <v>378</v>
      </c>
      <c r="I36" s="36" t="s">
        <v>928</v>
      </c>
    </row>
    <row r="37">
      <c r="A37" s="36" t="s">
        <v>929</v>
      </c>
      <c r="B37" s="87">
        <v>46106.0</v>
      </c>
      <c r="C37" s="36" t="s">
        <v>441</v>
      </c>
      <c r="D37" s="88">
        <v>0.7159722222222222</v>
      </c>
      <c r="E37" s="88">
        <v>0.7159722222222222</v>
      </c>
      <c r="F37" s="88"/>
      <c r="G37" s="36">
        <v>0.02</v>
      </c>
      <c r="H37" s="36" t="s">
        <v>378</v>
      </c>
      <c r="I37" s="36" t="s">
        <v>930</v>
      </c>
    </row>
    <row r="38">
      <c r="A38" s="36" t="s">
        <v>931</v>
      </c>
      <c r="B38" s="87">
        <v>46106.0</v>
      </c>
      <c r="C38" s="36" t="s">
        <v>468</v>
      </c>
      <c r="D38" s="88">
        <v>0.7659722222222223</v>
      </c>
      <c r="E38" s="88">
        <v>0.7701388888888889</v>
      </c>
      <c r="F38" s="88"/>
      <c r="G38" s="36">
        <v>0.1</v>
      </c>
      <c r="H38" s="36" t="s">
        <v>378</v>
      </c>
      <c r="I38" s="36" t="s">
        <v>932</v>
      </c>
    </row>
    <row r="39">
      <c r="A39" s="36" t="s">
        <v>933</v>
      </c>
      <c r="B39" s="87">
        <v>46107.0</v>
      </c>
      <c r="C39" s="36" t="s">
        <v>448</v>
      </c>
      <c r="D39" s="88">
        <v>0.26875</v>
      </c>
      <c r="E39" s="88">
        <v>0.8604166666666667</v>
      </c>
      <c r="F39" s="88"/>
      <c r="G39" s="36">
        <v>14.2</v>
      </c>
      <c r="H39" s="36" t="s">
        <v>381</v>
      </c>
      <c r="I39" s="36" t="s">
        <v>934</v>
      </c>
    </row>
    <row r="40">
      <c r="A40" s="36" t="s">
        <v>935</v>
      </c>
      <c r="B40" s="87">
        <v>46107.0</v>
      </c>
      <c r="C40" s="36" t="s">
        <v>441</v>
      </c>
      <c r="D40" s="88">
        <v>0.34444444444444444</v>
      </c>
      <c r="E40" s="88">
        <v>0.6756944444444445</v>
      </c>
      <c r="F40" s="88"/>
      <c r="G40" s="36">
        <v>7.95</v>
      </c>
      <c r="H40" s="36" t="s">
        <v>381</v>
      </c>
      <c r="I40" s="36" t="s">
        <v>936</v>
      </c>
    </row>
    <row r="41">
      <c r="A41" s="36" t="s">
        <v>937</v>
      </c>
      <c r="B41" s="87">
        <v>46107.0</v>
      </c>
      <c r="C41" s="36" t="s">
        <v>452</v>
      </c>
      <c r="D41" s="88">
        <v>0.3638888888888889</v>
      </c>
      <c r="E41" s="88">
        <v>0.7430555555555556</v>
      </c>
      <c r="F41" s="88"/>
      <c r="G41" s="36">
        <v>9.1</v>
      </c>
      <c r="H41" s="36" t="s">
        <v>381</v>
      </c>
      <c r="I41" s="36" t="s">
        <v>938</v>
      </c>
    </row>
    <row r="42">
      <c r="A42" s="36" t="s">
        <v>939</v>
      </c>
      <c r="B42" s="87">
        <v>46107.0</v>
      </c>
      <c r="C42" s="36" t="s">
        <v>463</v>
      </c>
      <c r="D42" s="88">
        <v>0.36527777777777776</v>
      </c>
      <c r="H42" s="36" t="s">
        <v>381</v>
      </c>
      <c r="I42" s="36" t="s">
        <v>940</v>
      </c>
    </row>
    <row r="43">
      <c r="A43" s="36" t="s">
        <v>941</v>
      </c>
      <c r="B43" s="87">
        <v>46107.0</v>
      </c>
      <c r="C43" s="36" t="s">
        <v>463</v>
      </c>
      <c r="D43" s="88">
        <v>0.36527777777777776</v>
      </c>
      <c r="E43" s="88">
        <v>0.7430555555555556</v>
      </c>
      <c r="F43" s="88"/>
      <c r="G43" s="36">
        <v>9.06</v>
      </c>
      <c r="H43" s="36" t="s">
        <v>381</v>
      </c>
      <c r="I43" s="36" t="s">
        <v>942</v>
      </c>
    </row>
    <row r="44">
      <c r="A44" s="36" t="s">
        <v>943</v>
      </c>
      <c r="B44" s="87">
        <v>46107.0</v>
      </c>
      <c r="C44" s="36" t="s">
        <v>520</v>
      </c>
      <c r="D44" s="88">
        <v>0.36944444444444446</v>
      </c>
      <c r="H44" s="36" t="s">
        <v>381</v>
      </c>
      <c r="I44" s="36" t="s">
        <v>384</v>
      </c>
    </row>
    <row r="45">
      <c r="A45" s="36" t="s">
        <v>944</v>
      </c>
      <c r="B45" s="87">
        <v>46107.0</v>
      </c>
      <c r="C45" s="36" t="s">
        <v>444</v>
      </c>
      <c r="D45" s="88">
        <v>0.3736111111111111</v>
      </c>
      <c r="E45" s="88">
        <v>0.3923611111111111</v>
      </c>
      <c r="F45" s="31">
        <v>37.0</v>
      </c>
      <c r="G45" s="36">
        <v>312.45</v>
      </c>
      <c r="H45" s="36" t="s">
        <v>381</v>
      </c>
      <c r="I45" s="36" t="s">
        <v>924</v>
      </c>
    </row>
    <row r="46">
      <c r="A46" s="36" t="s">
        <v>945</v>
      </c>
      <c r="B46" s="87">
        <v>46107.0</v>
      </c>
      <c r="C46" s="36" t="s">
        <v>459</v>
      </c>
      <c r="D46" s="88">
        <v>0.3736111111111111</v>
      </c>
      <c r="E46" s="88">
        <v>0.7611111111111111</v>
      </c>
      <c r="F46" s="88"/>
      <c r="G46" s="36">
        <v>9.29</v>
      </c>
      <c r="H46" s="36" t="s">
        <v>381</v>
      </c>
      <c r="I46" s="36" t="s">
        <v>946</v>
      </c>
    </row>
    <row r="47">
      <c r="A47" s="36" t="s">
        <v>947</v>
      </c>
      <c r="B47" s="87">
        <v>46107.0</v>
      </c>
      <c r="C47" s="36" t="s">
        <v>468</v>
      </c>
      <c r="D47" s="88">
        <v>0.37916666666666665</v>
      </c>
      <c r="E47" s="88">
        <v>0.7611111111111111</v>
      </c>
      <c r="F47" s="88"/>
      <c r="G47" s="36">
        <v>9.17</v>
      </c>
      <c r="H47" s="36" t="s">
        <v>381</v>
      </c>
      <c r="I47" s="36" t="s">
        <v>948</v>
      </c>
    </row>
    <row r="48">
      <c r="A48" s="36" t="s">
        <v>949</v>
      </c>
      <c r="B48" s="87">
        <v>46107.0</v>
      </c>
      <c r="C48" s="36" t="s">
        <v>472</v>
      </c>
      <c r="D48" s="88">
        <v>0.38125</v>
      </c>
      <c r="E48" s="88">
        <v>0.7861111111111111</v>
      </c>
      <c r="F48" s="88"/>
      <c r="G48" s="36">
        <v>9.7</v>
      </c>
      <c r="H48" s="36" t="s">
        <v>381</v>
      </c>
      <c r="I48" s="36" t="s">
        <v>950</v>
      </c>
    </row>
    <row r="49">
      <c r="A49" s="36" t="s">
        <v>951</v>
      </c>
      <c r="B49" s="87">
        <v>46107.0</v>
      </c>
      <c r="C49" s="36" t="s">
        <v>478</v>
      </c>
      <c r="D49" s="88">
        <v>0.7409722222222223</v>
      </c>
      <c r="H49" s="36" t="s">
        <v>378</v>
      </c>
      <c r="I49" s="36" t="s">
        <v>924</v>
      </c>
    </row>
    <row r="50">
      <c r="A50" s="36" t="s">
        <v>952</v>
      </c>
      <c r="B50" s="87">
        <v>46107.0</v>
      </c>
      <c r="C50" s="36" t="s">
        <v>478</v>
      </c>
      <c r="D50" s="88">
        <v>0.7430555555555556</v>
      </c>
      <c r="E50" s="88">
        <v>0.7465277777777778</v>
      </c>
      <c r="F50" s="88"/>
      <c r="G50" s="36">
        <v>0.09</v>
      </c>
      <c r="H50" s="36" t="s">
        <v>378</v>
      </c>
      <c r="I50" s="36" t="s">
        <v>953</v>
      </c>
    </row>
    <row r="51">
      <c r="A51" s="36" t="s">
        <v>954</v>
      </c>
      <c r="B51" s="87">
        <v>46107.0</v>
      </c>
      <c r="C51" s="36" t="s">
        <v>520</v>
      </c>
      <c r="D51" s="88">
        <v>0.7486111111111111</v>
      </c>
      <c r="E51" s="88">
        <v>0.7493055555555556</v>
      </c>
      <c r="F51" s="88"/>
      <c r="G51" s="36">
        <v>0.01</v>
      </c>
      <c r="H51" s="36" t="s">
        <v>378</v>
      </c>
      <c r="I51" s="36" t="s">
        <v>955</v>
      </c>
    </row>
    <row r="52">
      <c r="A52" s="36" t="s">
        <v>956</v>
      </c>
      <c r="B52" s="87">
        <v>46108.0</v>
      </c>
      <c r="C52" s="36" t="s">
        <v>448</v>
      </c>
      <c r="D52" s="88">
        <v>0.3034722222222222</v>
      </c>
      <c r="E52" s="88">
        <v>0.9305555555555556</v>
      </c>
      <c r="F52" s="88"/>
      <c r="G52" s="36">
        <v>15.05</v>
      </c>
      <c r="H52" s="36" t="s">
        <v>381</v>
      </c>
      <c r="I52" s="36" t="s">
        <v>957</v>
      </c>
    </row>
    <row r="53">
      <c r="A53" s="36" t="s">
        <v>958</v>
      </c>
      <c r="B53" s="87">
        <v>46108.0</v>
      </c>
      <c r="C53" s="36" t="s">
        <v>441</v>
      </c>
      <c r="D53" s="88">
        <v>0.33819444444444446</v>
      </c>
      <c r="E53" s="88">
        <v>0.7673611111111112</v>
      </c>
      <c r="F53" s="88"/>
      <c r="G53" s="36">
        <v>10.3</v>
      </c>
      <c r="H53" s="36" t="s">
        <v>381</v>
      </c>
      <c r="I53" s="36" t="s">
        <v>959</v>
      </c>
    </row>
    <row r="54">
      <c r="A54" s="36" t="s">
        <v>960</v>
      </c>
      <c r="B54" s="87">
        <v>46108.0</v>
      </c>
      <c r="C54" s="36" t="s">
        <v>520</v>
      </c>
      <c r="D54" s="88">
        <v>0.34305555555555556</v>
      </c>
      <c r="H54" s="36" t="s">
        <v>381</v>
      </c>
      <c r="I54" s="36" t="s">
        <v>955</v>
      </c>
    </row>
    <row r="55">
      <c r="A55" s="36" t="s">
        <v>961</v>
      </c>
      <c r="B55" s="87">
        <v>46108.0</v>
      </c>
      <c r="C55" s="36" t="s">
        <v>463</v>
      </c>
      <c r="D55" s="88">
        <v>0.34791666666666665</v>
      </c>
      <c r="H55" s="36" t="s">
        <v>381</v>
      </c>
      <c r="I55" s="36" t="s">
        <v>962</v>
      </c>
    </row>
    <row r="56">
      <c r="A56" s="36" t="s">
        <v>963</v>
      </c>
      <c r="B56" s="87">
        <v>46108.0</v>
      </c>
      <c r="C56" s="36" t="s">
        <v>463</v>
      </c>
      <c r="D56" s="88">
        <v>0.34791666666666665</v>
      </c>
      <c r="E56" s="88">
        <v>0.7472222222222222</v>
      </c>
      <c r="F56" s="88"/>
      <c r="G56" s="36">
        <v>9.58</v>
      </c>
      <c r="H56" s="36" t="s">
        <v>381</v>
      </c>
      <c r="I56" s="36" t="s">
        <v>962</v>
      </c>
    </row>
    <row r="57">
      <c r="A57" s="36" t="s">
        <v>964</v>
      </c>
      <c r="B57" s="87">
        <v>46108.0</v>
      </c>
      <c r="C57" s="36" t="s">
        <v>459</v>
      </c>
      <c r="D57" s="88">
        <v>0.3659722222222222</v>
      </c>
      <c r="H57" s="36" t="s">
        <v>381</v>
      </c>
      <c r="I57" s="36" t="s">
        <v>965</v>
      </c>
    </row>
    <row r="58">
      <c r="A58" s="36" t="s">
        <v>966</v>
      </c>
      <c r="B58" s="87">
        <v>46108.0</v>
      </c>
      <c r="C58" s="36" t="s">
        <v>459</v>
      </c>
      <c r="D58" s="88">
        <v>0.36666666666666664</v>
      </c>
      <c r="E58" s="88">
        <v>0.725</v>
      </c>
      <c r="F58" s="88"/>
      <c r="G58" s="36">
        <v>8.6</v>
      </c>
      <c r="H58" s="36" t="s">
        <v>381</v>
      </c>
      <c r="I58" s="36" t="s">
        <v>967</v>
      </c>
    </row>
    <row r="59">
      <c r="A59" s="36" t="s">
        <v>968</v>
      </c>
      <c r="B59" s="87">
        <v>46108.0</v>
      </c>
      <c r="C59" s="36" t="s">
        <v>452</v>
      </c>
      <c r="D59" s="88">
        <v>0.36666666666666664</v>
      </c>
      <c r="H59" s="36" t="s">
        <v>381</v>
      </c>
      <c r="I59" s="36" t="s">
        <v>969</v>
      </c>
    </row>
    <row r="60">
      <c r="A60" s="36" t="s">
        <v>970</v>
      </c>
      <c r="B60" s="87">
        <v>46108.0</v>
      </c>
      <c r="C60" s="36" t="s">
        <v>452</v>
      </c>
      <c r="D60" s="88">
        <v>0.36736111111111114</v>
      </c>
      <c r="E60" s="88">
        <v>0.7472222222222222</v>
      </c>
      <c r="F60" s="88"/>
      <c r="G60" s="36">
        <v>9.11</v>
      </c>
      <c r="H60" s="36" t="s">
        <v>381</v>
      </c>
      <c r="I60" s="36" t="s">
        <v>971</v>
      </c>
    </row>
    <row r="61">
      <c r="A61" s="36" t="s">
        <v>972</v>
      </c>
      <c r="B61" s="87">
        <v>46108.0</v>
      </c>
      <c r="C61" s="36" t="s">
        <v>520</v>
      </c>
      <c r="D61" s="88">
        <v>0.36875</v>
      </c>
      <c r="E61" s="88">
        <v>0.7506944444444444</v>
      </c>
      <c r="F61" s="88"/>
      <c r="G61" s="36">
        <v>9.18</v>
      </c>
      <c r="H61" s="36" t="s">
        <v>381</v>
      </c>
      <c r="I61" s="36" t="s">
        <v>955</v>
      </c>
    </row>
    <row r="62">
      <c r="A62" s="36" t="s">
        <v>973</v>
      </c>
      <c r="B62" s="87">
        <v>46108.0</v>
      </c>
      <c r="C62" s="36" t="s">
        <v>472</v>
      </c>
      <c r="D62" s="88">
        <v>0.375</v>
      </c>
      <c r="E62" s="88">
        <v>0.7701388888888889</v>
      </c>
      <c r="F62" s="31">
        <v>58.0</v>
      </c>
      <c r="G62" s="36">
        <v>321.49</v>
      </c>
      <c r="H62" s="36" t="s">
        <v>381</v>
      </c>
      <c r="I62" s="36" t="s">
        <v>974</v>
      </c>
    </row>
    <row r="63">
      <c r="A63" s="36" t="s">
        <v>975</v>
      </c>
      <c r="B63" s="87">
        <v>46108.0</v>
      </c>
      <c r="C63" s="36" t="s">
        <v>444</v>
      </c>
      <c r="D63" s="88">
        <v>0.37569444444444444</v>
      </c>
      <c r="E63" s="88">
        <v>0.8590277777777777</v>
      </c>
      <c r="F63" s="88"/>
      <c r="G63" s="36">
        <v>11.6</v>
      </c>
      <c r="H63" s="36" t="s">
        <v>381</v>
      </c>
      <c r="I63" s="36" t="s">
        <v>976</v>
      </c>
    </row>
    <row r="64">
      <c r="A64" s="36" t="s">
        <v>977</v>
      </c>
      <c r="B64" s="87">
        <v>46108.0</v>
      </c>
      <c r="C64" s="36" t="s">
        <v>468</v>
      </c>
      <c r="D64" s="88">
        <v>0.4041666666666667</v>
      </c>
      <c r="H64" s="36" t="s">
        <v>378</v>
      </c>
      <c r="I64" s="36" t="s">
        <v>978</v>
      </c>
    </row>
    <row r="65">
      <c r="A65" s="36" t="s">
        <v>979</v>
      </c>
      <c r="B65" s="87">
        <v>46109.0</v>
      </c>
      <c r="C65" s="36" t="s">
        <v>448</v>
      </c>
      <c r="D65" s="88">
        <v>0.3020833333333333</v>
      </c>
      <c r="H65" s="36" t="s">
        <v>381</v>
      </c>
      <c r="I65" s="36" t="s">
        <v>957</v>
      </c>
    </row>
    <row r="66">
      <c r="A66" s="36" t="s">
        <v>980</v>
      </c>
      <c r="B66" s="87">
        <v>46109.0</v>
      </c>
      <c r="C66" s="36" t="s">
        <v>520</v>
      </c>
      <c r="D66" s="88">
        <v>0.35625</v>
      </c>
      <c r="E66" s="88">
        <v>0.7527777777777778</v>
      </c>
      <c r="F66" s="88"/>
      <c r="G66" s="36">
        <v>9.52</v>
      </c>
      <c r="H66" s="36" t="s">
        <v>381</v>
      </c>
      <c r="I66" s="36" t="s">
        <v>981</v>
      </c>
    </row>
    <row r="67">
      <c r="A67" s="36" t="s">
        <v>982</v>
      </c>
      <c r="B67" s="87">
        <v>46109.0</v>
      </c>
      <c r="C67" s="36" t="s">
        <v>452</v>
      </c>
      <c r="D67" s="88">
        <v>0.3576388888888889</v>
      </c>
      <c r="E67" s="88">
        <v>0.7451388888888889</v>
      </c>
      <c r="F67" s="88"/>
      <c r="G67" s="36">
        <v>9.3</v>
      </c>
      <c r="H67" s="36" t="s">
        <v>381</v>
      </c>
      <c r="I67" s="36" t="s">
        <v>983</v>
      </c>
    </row>
    <row r="68">
      <c r="A68" s="36" t="s">
        <v>984</v>
      </c>
      <c r="B68" s="87">
        <v>46109.0</v>
      </c>
      <c r="C68" s="36" t="s">
        <v>478</v>
      </c>
      <c r="D68" s="88">
        <v>0.36527777777777776</v>
      </c>
      <c r="H68" s="36" t="s">
        <v>381</v>
      </c>
      <c r="I68" s="36" t="s">
        <v>985</v>
      </c>
    </row>
    <row r="69">
      <c r="A69" s="36" t="s">
        <v>986</v>
      </c>
      <c r="B69" s="87">
        <v>46109.0</v>
      </c>
      <c r="C69" s="36" t="s">
        <v>444</v>
      </c>
      <c r="D69" s="88">
        <v>0.375</v>
      </c>
      <c r="H69" s="36" t="s">
        <v>381</v>
      </c>
      <c r="I69" s="36" t="s">
        <v>987</v>
      </c>
    </row>
    <row r="70">
      <c r="A70" s="36" t="s">
        <v>988</v>
      </c>
      <c r="B70" s="87">
        <v>46109.0</v>
      </c>
      <c r="C70" s="36" t="s">
        <v>478</v>
      </c>
      <c r="D70" s="88">
        <v>0.375</v>
      </c>
      <c r="E70" s="88">
        <v>0.37430555555555556</v>
      </c>
      <c r="G70" s="36">
        <v>263.98</v>
      </c>
      <c r="H70" s="36" t="s">
        <v>381</v>
      </c>
      <c r="I70" s="36" t="s">
        <v>989</v>
      </c>
    </row>
    <row r="71">
      <c r="A71" s="36" t="s">
        <v>990</v>
      </c>
      <c r="B71" s="87">
        <v>46109.0</v>
      </c>
      <c r="C71" s="36" t="s">
        <v>468</v>
      </c>
      <c r="D71" s="88">
        <v>0.375</v>
      </c>
      <c r="E71" s="88">
        <v>0.7673611111111112</v>
      </c>
      <c r="F71" s="88"/>
      <c r="G71" s="36">
        <v>9.43</v>
      </c>
      <c r="H71" s="36" t="s">
        <v>381</v>
      </c>
      <c r="I71" s="36" t="s">
        <v>978</v>
      </c>
    </row>
    <row r="72">
      <c r="A72" s="36" t="s">
        <v>991</v>
      </c>
      <c r="B72" s="87">
        <v>46109.0</v>
      </c>
      <c r="C72" s="36" t="s">
        <v>459</v>
      </c>
      <c r="D72" s="88">
        <v>0.375</v>
      </c>
      <c r="E72" s="88">
        <v>0.6784722222222223</v>
      </c>
      <c r="F72" s="88"/>
      <c r="G72" s="36">
        <v>7.28</v>
      </c>
      <c r="H72" s="36" t="s">
        <v>381</v>
      </c>
      <c r="I72" s="36" t="s">
        <v>965</v>
      </c>
    </row>
    <row r="73">
      <c r="A73" s="36" t="s">
        <v>992</v>
      </c>
      <c r="B73" s="87">
        <v>46109.0</v>
      </c>
      <c r="C73" s="36" t="s">
        <v>444</v>
      </c>
      <c r="D73" s="88">
        <v>0.37569444444444444</v>
      </c>
      <c r="H73" s="36" t="s">
        <v>381</v>
      </c>
      <c r="I73" s="36" t="s">
        <v>987</v>
      </c>
    </row>
    <row r="74">
      <c r="A74" s="36" t="s">
        <v>993</v>
      </c>
      <c r="B74" s="87">
        <v>46109.0</v>
      </c>
      <c r="C74" s="36" t="s">
        <v>472</v>
      </c>
      <c r="D74" s="88">
        <v>0.3763888888888889</v>
      </c>
      <c r="E74" s="88">
        <v>0.3715277777777778</v>
      </c>
      <c r="F74" s="31">
        <v>0.0</v>
      </c>
      <c r="G74" s="36">
        <v>287.87</v>
      </c>
      <c r="H74" s="36" t="s">
        <v>381</v>
      </c>
      <c r="I74" s="36" t="s">
        <v>994</v>
      </c>
    </row>
    <row r="75">
      <c r="A75" s="36" t="s">
        <v>995</v>
      </c>
      <c r="B75" s="87">
        <v>46109.0</v>
      </c>
      <c r="C75" s="36" t="s">
        <v>441</v>
      </c>
      <c r="D75" s="88">
        <v>0.3784722222222222</v>
      </c>
      <c r="E75" s="88">
        <v>0.6715277777777777</v>
      </c>
      <c r="F75" s="88"/>
      <c r="G75" s="36">
        <v>7.04</v>
      </c>
      <c r="H75" s="36" t="s">
        <v>381</v>
      </c>
      <c r="I75" s="36" t="s">
        <v>996</v>
      </c>
    </row>
    <row r="76">
      <c r="A76" s="36" t="s">
        <v>997</v>
      </c>
      <c r="B76" s="87">
        <v>46109.0</v>
      </c>
      <c r="C76" s="36" t="s">
        <v>448</v>
      </c>
      <c r="D76" s="88">
        <v>0.5618055555555556</v>
      </c>
      <c r="H76" s="36" t="s">
        <v>378</v>
      </c>
      <c r="I76" s="36" t="s">
        <v>957</v>
      </c>
    </row>
    <row r="77">
      <c r="A77" s="36" t="s">
        <v>998</v>
      </c>
      <c r="B77" s="87">
        <v>46109.0</v>
      </c>
      <c r="C77" s="36" t="s">
        <v>448</v>
      </c>
      <c r="D77" s="88">
        <v>0.5625</v>
      </c>
      <c r="E77" s="88">
        <v>0.9506944444444444</v>
      </c>
      <c r="F77" s="88"/>
      <c r="G77" s="36">
        <v>9.31</v>
      </c>
      <c r="H77" s="36" t="s">
        <v>378</v>
      </c>
      <c r="I77" s="36" t="s">
        <v>957</v>
      </c>
    </row>
    <row r="78">
      <c r="A78" s="36" t="s">
        <v>999</v>
      </c>
      <c r="B78" s="87">
        <v>46111.0</v>
      </c>
      <c r="C78" s="36" t="s">
        <v>441</v>
      </c>
      <c r="D78" s="88">
        <v>0.33541666666666664</v>
      </c>
      <c r="E78" s="88">
        <v>0.74375</v>
      </c>
      <c r="F78" s="88"/>
      <c r="G78" s="36">
        <v>9.8</v>
      </c>
      <c r="H78" s="36" t="s">
        <v>381</v>
      </c>
      <c r="I78" s="36" t="s">
        <v>1000</v>
      </c>
    </row>
    <row r="79">
      <c r="A79" s="36" t="s">
        <v>1001</v>
      </c>
      <c r="B79" s="87">
        <v>46111.0</v>
      </c>
      <c r="C79" s="36" t="s">
        <v>448</v>
      </c>
      <c r="D79" s="88">
        <v>0.3611111111111111</v>
      </c>
      <c r="E79" s="88">
        <v>0.9993055555555556</v>
      </c>
      <c r="F79" s="88"/>
      <c r="G79" s="36">
        <v>15.32</v>
      </c>
      <c r="H79" s="36" t="s">
        <v>381</v>
      </c>
      <c r="I79" s="36" t="s">
        <v>957</v>
      </c>
    </row>
    <row r="80">
      <c r="A80" s="36" t="s">
        <v>1002</v>
      </c>
      <c r="B80" s="87">
        <v>46111.0</v>
      </c>
      <c r="C80" s="36" t="s">
        <v>463</v>
      </c>
      <c r="D80" s="88">
        <v>0.3659722222222222</v>
      </c>
      <c r="H80" s="36" t="s">
        <v>381</v>
      </c>
      <c r="I80" s="36" t="s">
        <v>1003</v>
      </c>
    </row>
    <row r="81">
      <c r="A81" s="36" t="s">
        <v>1004</v>
      </c>
      <c r="B81" s="87">
        <v>46111.0</v>
      </c>
      <c r="C81" s="36" t="s">
        <v>463</v>
      </c>
      <c r="D81" s="88">
        <v>0.3659722222222222</v>
      </c>
      <c r="E81" s="88">
        <v>0.7409722222222223</v>
      </c>
      <c r="F81" s="88"/>
      <c r="G81" s="36">
        <v>9.0</v>
      </c>
      <c r="H81" s="36" t="s">
        <v>381</v>
      </c>
      <c r="I81" s="36" t="s">
        <v>1003</v>
      </c>
    </row>
    <row r="82">
      <c r="A82" s="36" t="s">
        <v>1005</v>
      </c>
      <c r="B82" s="87">
        <v>46111.0</v>
      </c>
      <c r="C82" s="36" t="s">
        <v>452</v>
      </c>
      <c r="D82" s="88">
        <v>0.3659722222222222</v>
      </c>
      <c r="E82" s="88">
        <v>0.7430555555555556</v>
      </c>
      <c r="F82" s="88"/>
      <c r="G82" s="36">
        <v>9.04</v>
      </c>
      <c r="H82" s="36" t="s">
        <v>381</v>
      </c>
      <c r="I82" s="36" t="s">
        <v>1006</v>
      </c>
    </row>
    <row r="83">
      <c r="A83" s="36" t="s">
        <v>1007</v>
      </c>
      <c r="B83" s="87">
        <v>46111.0</v>
      </c>
      <c r="C83" s="36" t="s">
        <v>520</v>
      </c>
      <c r="D83" s="88">
        <v>0.3715277777777778</v>
      </c>
      <c r="E83" s="88">
        <v>0.8743055555555556</v>
      </c>
      <c r="F83" s="88"/>
      <c r="G83" s="36">
        <v>12.06</v>
      </c>
      <c r="H83" s="36" t="s">
        <v>381</v>
      </c>
      <c r="I83" s="36" t="s">
        <v>1008</v>
      </c>
    </row>
    <row r="84">
      <c r="A84" s="36" t="s">
        <v>1009</v>
      </c>
      <c r="B84" s="87">
        <v>46111.0</v>
      </c>
      <c r="C84" s="36" t="s">
        <v>459</v>
      </c>
      <c r="D84" s="88">
        <v>0.3736111111111111</v>
      </c>
      <c r="H84" s="36" t="s">
        <v>381</v>
      </c>
      <c r="I84" s="36" t="s">
        <v>1010</v>
      </c>
    </row>
    <row r="85">
      <c r="A85" s="36" t="s">
        <v>1011</v>
      </c>
      <c r="B85" s="87">
        <v>46111.0</v>
      </c>
      <c r="C85" s="36" t="s">
        <v>472</v>
      </c>
      <c r="D85" s="88">
        <v>0.37569444444444444</v>
      </c>
      <c r="E85" s="88">
        <v>0.8166666666666667</v>
      </c>
      <c r="F85" s="88"/>
      <c r="G85" s="36">
        <v>10.58</v>
      </c>
      <c r="H85" s="36" t="s">
        <v>381</v>
      </c>
      <c r="I85" s="36" t="s">
        <v>1012</v>
      </c>
    </row>
    <row r="86">
      <c r="A86" s="36" t="s">
        <v>1013</v>
      </c>
      <c r="B86" s="87">
        <v>46111.0</v>
      </c>
      <c r="C86" s="36" t="s">
        <v>468</v>
      </c>
      <c r="D86" s="88">
        <v>0.37777777777777777</v>
      </c>
      <c r="H86" s="36" t="s">
        <v>381</v>
      </c>
      <c r="I86" s="36" t="s">
        <v>978</v>
      </c>
    </row>
    <row r="87">
      <c r="A87" s="36" t="s">
        <v>1014</v>
      </c>
      <c r="B87" s="87">
        <v>46111.0</v>
      </c>
      <c r="C87" s="36" t="s">
        <v>444</v>
      </c>
      <c r="D87" s="88">
        <v>0.38333333333333336</v>
      </c>
      <c r="H87" s="36" t="s">
        <v>381</v>
      </c>
      <c r="I87" s="36" t="s">
        <v>1015</v>
      </c>
    </row>
    <row r="88">
      <c r="A88" s="36" t="s">
        <v>1016</v>
      </c>
      <c r="B88" s="87">
        <v>46112.0</v>
      </c>
      <c r="C88" s="36" t="s">
        <v>448</v>
      </c>
      <c r="D88" s="88">
        <v>0.30694444444444446</v>
      </c>
      <c r="E88" s="88">
        <v>0.9229166666666667</v>
      </c>
      <c r="F88" s="88"/>
      <c r="G88" s="36">
        <v>14.79</v>
      </c>
      <c r="H88" s="36" t="s">
        <v>381</v>
      </c>
      <c r="I88" s="36" t="s">
        <v>957</v>
      </c>
    </row>
    <row r="89">
      <c r="A89" s="36" t="s">
        <v>1017</v>
      </c>
      <c r="B89" s="87">
        <v>46112.0</v>
      </c>
      <c r="C89" s="36" t="s">
        <v>452</v>
      </c>
      <c r="D89" s="88">
        <v>0.3548611111111111</v>
      </c>
      <c r="E89" s="88">
        <v>0.7430555555555556</v>
      </c>
      <c r="F89" s="88"/>
      <c r="G89" s="36">
        <v>9.32</v>
      </c>
      <c r="H89" s="36" t="s">
        <v>381</v>
      </c>
      <c r="I89" s="36" t="s">
        <v>1018</v>
      </c>
    </row>
    <row r="90">
      <c r="A90" s="36" t="s">
        <v>1019</v>
      </c>
      <c r="B90" s="87">
        <v>46112.0</v>
      </c>
      <c r="C90" s="36" t="s">
        <v>463</v>
      </c>
      <c r="D90" s="88">
        <v>0.35625</v>
      </c>
      <c r="H90" s="36" t="s">
        <v>381</v>
      </c>
      <c r="I90" s="36" t="s">
        <v>1020</v>
      </c>
    </row>
    <row r="91">
      <c r="A91" s="36" t="s">
        <v>1021</v>
      </c>
      <c r="B91" s="87">
        <v>46112.0</v>
      </c>
      <c r="C91" s="36" t="s">
        <v>463</v>
      </c>
      <c r="D91" s="88">
        <v>0.35625</v>
      </c>
      <c r="E91" s="88">
        <v>0.7423611111111111</v>
      </c>
      <c r="F91" s="88"/>
      <c r="G91" s="36">
        <v>9.28</v>
      </c>
      <c r="H91" s="36" t="s">
        <v>381</v>
      </c>
      <c r="I91" s="36" t="s">
        <v>1020</v>
      </c>
    </row>
    <row r="92">
      <c r="A92" s="36" t="s">
        <v>1022</v>
      </c>
      <c r="B92" s="87">
        <v>46112.0</v>
      </c>
      <c r="C92" s="36" t="s">
        <v>1023</v>
      </c>
      <c r="D92" s="88">
        <v>0.36319444444444443</v>
      </c>
      <c r="E92" s="88">
        <v>0.36666666666666664</v>
      </c>
      <c r="G92" s="36">
        <v>264.08</v>
      </c>
      <c r="H92" s="36" t="s">
        <v>381</v>
      </c>
      <c r="I92" s="36" t="s">
        <v>1024</v>
      </c>
    </row>
    <row r="93">
      <c r="A93" s="36" t="s">
        <v>1025</v>
      </c>
      <c r="B93" s="87">
        <v>46112.0</v>
      </c>
      <c r="C93" s="36" t="s">
        <v>520</v>
      </c>
      <c r="D93" s="88">
        <v>0.3638888888888889</v>
      </c>
      <c r="E93" s="88">
        <v>0.7611111111111111</v>
      </c>
      <c r="F93" s="88"/>
      <c r="G93" s="36">
        <v>9.53</v>
      </c>
      <c r="H93" s="36" t="s">
        <v>381</v>
      </c>
      <c r="I93" s="36" t="s">
        <v>1026</v>
      </c>
    </row>
    <row r="94">
      <c r="A94" s="36" t="s">
        <v>1027</v>
      </c>
      <c r="B94" s="87">
        <v>46112.0</v>
      </c>
      <c r="C94" s="36" t="s">
        <v>459</v>
      </c>
      <c r="D94" s="88">
        <v>0.37083333333333335</v>
      </c>
      <c r="H94" s="36" t="s">
        <v>381</v>
      </c>
      <c r="I94" s="36" t="s">
        <v>1010</v>
      </c>
    </row>
    <row r="95">
      <c r="A95" s="36" t="s">
        <v>1028</v>
      </c>
      <c r="B95" s="87">
        <v>46112.0</v>
      </c>
      <c r="C95" s="36" t="s">
        <v>441</v>
      </c>
      <c r="D95" s="88">
        <v>0.37569444444444444</v>
      </c>
      <c r="H95" s="36" t="s">
        <v>381</v>
      </c>
      <c r="I95" s="36" t="s">
        <v>1029</v>
      </c>
    </row>
    <row r="96">
      <c r="A96" s="36" t="s">
        <v>1030</v>
      </c>
      <c r="B96" s="87">
        <v>46112.0</v>
      </c>
      <c r="C96" s="36" t="s">
        <v>444</v>
      </c>
      <c r="D96" s="88">
        <v>0.37916666666666665</v>
      </c>
      <c r="H96" s="36" t="s">
        <v>381</v>
      </c>
      <c r="I96" s="36" t="s">
        <v>1031</v>
      </c>
    </row>
    <row r="97">
      <c r="A97" s="36" t="s">
        <v>1032</v>
      </c>
      <c r="B97" s="87">
        <v>46112.0</v>
      </c>
      <c r="C97" s="36" t="s">
        <v>444</v>
      </c>
      <c r="D97" s="88">
        <v>0.38055555555555554</v>
      </c>
      <c r="H97" s="36" t="s">
        <v>381</v>
      </c>
      <c r="I97" s="36" t="s">
        <v>1033</v>
      </c>
    </row>
    <row r="98">
      <c r="A98" s="36" t="s">
        <v>1034</v>
      </c>
      <c r="B98" s="87">
        <v>46112.0</v>
      </c>
      <c r="C98" s="36" t="s">
        <v>444</v>
      </c>
      <c r="D98" s="88">
        <v>0.38055555555555554</v>
      </c>
      <c r="E98" s="88">
        <v>0.36319444444444443</v>
      </c>
      <c r="G98" s="36">
        <v>263.59</v>
      </c>
      <c r="H98" s="36" t="s">
        <v>381</v>
      </c>
      <c r="I98" s="36" t="s">
        <v>1035</v>
      </c>
    </row>
    <row r="99">
      <c r="A99" s="36" t="s">
        <v>1036</v>
      </c>
      <c r="B99" s="87">
        <v>46112.0</v>
      </c>
      <c r="C99" s="36" t="s">
        <v>472</v>
      </c>
      <c r="D99" s="88">
        <v>0.38125</v>
      </c>
      <c r="E99" s="88">
        <v>0.7666666666666667</v>
      </c>
      <c r="F99" s="31">
        <v>36.0</v>
      </c>
      <c r="G99" s="36">
        <v>201.26</v>
      </c>
      <c r="H99" s="36" t="s">
        <v>381</v>
      </c>
      <c r="I99" s="36" t="s">
        <v>1037</v>
      </c>
    </row>
    <row r="100">
      <c r="A100" s="36" t="s">
        <v>1038</v>
      </c>
      <c r="B100" s="87">
        <v>46112.0</v>
      </c>
      <c r="C100" s="36" t="s">
        <v>468</v>
      </c>
      <c r="D100" s="88">
        <v>0.39444444444444443</v>
      </c>
      <c r="H100" s="36" t="s">
        <v>378</v>
      </c>
      <c r="I100" s="36" t="s">
        <v>1033</v>
      </c>
    </row>
    <row r="101">
      <c r="A101" s="46" t="s">
        <v>1039</v>
      </c>
      <c r="B101" s="89">
        <v>46113.0</v>
      </c>
      <c r="C101" s="46" t="s">
        <v>448</v>
      </c>
      <c r="D101" s="90">
        <v>0.3347222222222222</v>
      </c>
      <c r="E101" s="90">
        <v>0.9354166666666667</v>
      </c>
      <c r="F101" s="90"/>
      <c r="G101" s="46">
        <v>14.41</v>
      </c>
      <c r="H101" s="46" t="s">
        <v>381</v>
      </c>
      <c r="I101" s="46" t="s">
        <v>1040</v>
      </c>
    </row>
    <row r="102">
      <c r="A102" s="46" t="s">
        <v>1041</v>
      </c>
      <c r="B102" s="89">
        <v>46113.0</v>
      </c>
      <c r="C102" s="46" t="s">
        <v>520</v>
      </c>
      <c r="D102" s="90">
        <v>0.34930555555555554</v>
      </c>
      <c r="E102" s="47"/>
      <c r="F102" s="47"/>
      <c r="G102" s="47"/>
      <c r="H102" s="46" t="s">
        <v>381</v>
      </c>
      <c r="I102" s="46" t="s">
        <v>1042</v>
      </c>
    </row>
    <row r="103">
      <c r="A103" s="46" t="s">
        <v>1043</v>
      </c>
      <c r="B103" s="89">
        <v>46113.0</v>
      </c>
      <c r="C103" s="46" t="s">
        <v>478</v>
      </c>
      <c r="D103" s="90">
        <v>0.3541666666666667</v>
      </c>
      <c r="E103" s="90">
        <v>0.7451388888888889</v>
      </c>
      <c r="F103" s="90"/>
      <c r="G103" s="46">
        <v>9.37</v>
      </c>
      <c r="H103" s="46" t="s">
        <v>381</v>
      </c>
      <c r="I103" s="46" t="s">
        <v>1044</v>
      </c>
    </row>
    <row r="104">
      <c r="A104" s="46" t="s">
        <v>1045</v>
      </c>
      <c r="B104" s="89">
        <v>46113.0</v>
      </c>
      <c r="C104" s="46" t="s">
        <v>441</v>
      </c>
      <c r="D104" s="90">
        <v>0.35555555555555557</v>
      </c>
      <c r="E104" s="90">
        <v>0.7361111111111112</v>
      </c>
      <c r="F104" s="90"/>
      <c r="G104" s="46">
        <v>9.12</v>
      </c>
      <c r="H104" s="46" t="s">
        <v>381</v>
      </c>
      <c r="I104" s="46" t="s">
        <v>1046</v>
      </c>
    </row>
    <row r="105">
      <c r="A105" s="46" t="s">
        <v>1047</v>
      </c>
      <c r="B105" s="89">
        <v>46113.0</v>
      </c>
      <c r="C105" s="46" t="s">
        <v>463</v>
      </c>
      <c r="D105" s="90">
        <v>0.35833333333333334</v>
      </c>
      <c r="E105" s="47"/>
      <c r="F105" s="47"/>
      <c r="G105" s="47"/>
      <c r="H105" s="46" t="s">
        <v>381</v>
      </c>
      <c r="I105" s="46" t="s">
        <v>1048</v>
      </c>
    </row>
    <row r="106">
      <c r="A106" s="46" t="s">
        <v>1049</v>
      </c>
      <c r="B106" s="89">
        <v>46113.0</v>
      </c>
      <c r="C106" s="46" t="s">
        <v>463</v>
      </c>
      <c r="D106" s="90">
        <v>0.35833333333333334</v>
      </c>
      <c r="E106" s="90">
        <v>0.74375</v>
      </c>
      <c r="F106" s="90"/>
      <c r="G106" s="46">
        <v>9.24</v>
      </c>
      <c r="H106" s="46" t="s">
        <v>381</v>
      </c>
      <c r="I106" s="46" t="s">
        <v>1048</v>
      </c>
    </row>
    <row r="107">
      <c r="A107" s="46" t="s">
        <v>1050</v>
      </c>
      <c r="B107" s="89">
        <v>46113.0</v>
      </c>
      <c r="C107" s="46" t="s">
        <v>452</v>
      </c>
      <c r="D107" s="90">
        <v>0.36666666666666664</v>
      </c>
      <c r="E107" s="90">
        <v>0.7409722222222223</v>
      </c>
      <c r="F107" s="90"/>
      <c r="G107" s="46">
        <v>8.98</v>
      </c>
      <c r="H107" s="46" t="s">
        <v>381</v>
      </c>
      <c r="I107" s="46" t="s">
        <v>1051</v>
      </c>
    </row>
    <row r="108">
      <c r="A108" s="46" t="s">
        <v>1052</v>
      </c>
      <c r="B108" s="89">
        <v>46113.0</v>
      </c>
      <c r="C108" s="46" t="s">
        <v>444</v>
      </c>
      <c r="D108" s="90">
        <v>0.36944444444444446</v>
      </c>
      <c r="E108" s="47"/>
      <c r="F108" s="47"/>
      <c r="G108" s="47"/>
      <c r="H108" s="46" t="s">
        <v>381</v>
      </c>
      <c r="I108" s="46" t="s">
        <v>1035</v>
      </c>
    </row>
    <row r="109">
      <c r="A109" s="46" t="s">
        <v>1053</v>
      </c>
      <c r="B109" s="89">
        <v>46113.0</v>
      </c>
      <c r="C109" s="46" t="s">
        <v>459</v>
      </c>
      <c r="D109" s="90">
        <v>0.37083333333333335</v>
      </c>
      <c r="E109" s="47"/>
      <c r="F109" s="47"/>
      <c r="G109" s="47"/>
      <c r="H109" s="46" t="s">
        <v>381</v>
      </c>
      <c r="I109" s="46" t="s">
        <v>395</v>
      </c>
    </row>
    <row r="110">
      <c r="A110" s="46" t="s">
        <v>1054</v>
      </c>
      <c r="B110" s="89">
        <v>46113.0</v>
      </c>
      <c r="C110" s="46" t="s">
        <v>472</v>
      </c>
      <c r="D110" s="90">
        <v>0.3770833333333333</v>
      </c>
      <c r="E110" s="90">
        <v>0.7576388888888889</v>
      </c>
      <c r="F110" s="90"/>
      <c r="G110" s="46">
        <v>9.14</v>
      </c>
      <c r="H110" s="46" t="s">
        <v>381</v>
      </c>
      <c r="I110" s="46" t="s">
        <v>1037</v>
      </c>
    </row>
    <row r="111">
      <c r="A111" s="46" t="s">
        <v>1055</v>
      </c>
      <c r="B111" s="89">
        <v>46113.0</v>
      </c>
      <c r="C111" s="46" t="s">
        <v>468</v>
      </c>
      <c r="D111" s="90">
        <v>0.3770833333333333</v>
      </c>
      <c r="E111" s="47"/>
      <c r="F111" s="47"/>
      <c r="G111" s="47"/>
      <c r="H111" s="46" t="s">
        <v>381</v>
      </c>
      <c r="I111" s="46" t="s">
        <v>1056</v>
      </c>
    </row>
    <row r="112">
      <c r="A112" s="46" t="s">
        <v>1057</v>
      </c>
      <c r="B112" s="89">
        <v>46113.0</v>
      </c>
      <c r="C112" s="46" t="s">
        <v>520</v>
      </c>
      <c r="D112" s="90">
        <v>0.5833333333333334</v>
      </c>
      <c r="E112" s="90">
        <v>0.7520833333333333</v>
      </c>
      <c r="F112" s="90"/>
      <c r="G112" s="46">
        <v>4.05</v>
      </c>
      <c r="H112" s="46" t="s">
        <v>378</v>
      </c>
      <c r="I112" s="46" t="s">
        <v>1058</v>
      </c>
    </row>
    <row r="113">
      <c r="A113" s="51" t="s">
        <v>1059</v>
      </c>
      <c r="B113" s="91">
        <v>46114.0</v>
      </c>
      <c r="C113" s="51" t="s">
        <v>448</v>
      </c>
      <c r="D113" s="92">
        <v>0.3125</v>
      </c>
      <c r="E113" s="92">
        <v>0.7006944444444444</v>
      </c>
      <c r="F113" s="49">
        <v>27.0</v>
      </c>
      <c r="G113" s="51">
        <v>9.32</v>
      </c>
      <c r="H113" s="51" t="s">
        <v>381</v>
      </c>
      <c r="I113" s="51" t="s">
        <v>1060</v>
      </c>
    </row>
    <row r="114">
      <c r="A114" s="51" t="s">
        <v>1061</v>
      </c>
      <c r="B114" s="91">
        <v>46114.0</v>
      </c>
      <c r="C114" s="51" t="s">
        <v>520</v>
      </c>
      <c r="D114" s="92">
        <v>0.34930555555555554</v>
      </c>
      <c r="E114" s="92">
        <v>0.6548611111111111</v>
      </c>
      <c r="F114" s="49">
        <v>35.0</v>
      </c>
      <c r="G114" s="51">
        <v>7.34</v>
      </c>
      <c r="H114" s="51" t="s">
        <v>381</v>
      </c>
      <c r="I114" s="51" t="s">
        <v>1062</v>
      </c>
    </row>
    <row r="115">
      <c r="A115" s="51" t="s">
        <v>1063</v>
      </c>
      <c r="B115" s="91">
        <v>46114.0</v>
      </c>
      <c r="C115" s="51" t="s">
        <v>441</v>
      </c>
      <c r="D115" s="92">
        <v>0.3506944444444444</v>
      </c>
      <c r="E115" s="92">
        <v>0.7388888888888889</v>
      </c>
      <c r="F115" s="49">
        <v>62.0</v>
      </c>
      <c r="G115" s="51">
        <v>9.33</v>
      </c>
      <c r="H115" s="51" t="s">
        <v>381</v>
      </c>
      <c r="I115" s="51" t="s">
        <v>1046</v>
      </c>
    </row>
    <row r="116">
      <c r="A116" s="51" t="s">
        <v>1064</v>
      </c>
      <c r="B116" s="91">
        <v>46114.0</v>
      </c>
      <c r="C116" s="51" t="s">
        <v>452</v>
      </c>
      <c r="D116" s="92">
        <v>0.3527777777777778</v>
      </c>
      <c r="E116" s="92">
        <v>0.7340277777777777</v>
      </c>
      <c r="F116" s="49">
        <v>35.0</v>
      </c>
      <c r="G116" s="51">
        <v>9.15</v>
      </c>
      <c r="H116" s="51" t="s">
        <v>381</v>
      </c>
      <c r="I116" s="51" t="s">
        <v>1065</v>
      </c>
    </row>
    <row r="117">
      <c r="A117" s="51" t="s">
        <v>1066</v>
      </c>
      <c r="B117" s="91">
        <v>46114.0</v>
      </c>
      <c r="C117" s="51" t="s">
        <v>463</v>
      </c>
      <c r="D117" s="92">
        <v>0.35555555555555557</v>
      </c>
      <c r="E117" s="92">
        <v>0.7347222222222223</v>
      </c>
      <c r="F117" s="51">
        <v>0.0</v>
      </c>
      <c r="G117" s="51">
        <v>9.12</v>
      </c>
      <c r="H117" s="51" t="s">
        <v>381</v>
      </c>
      <c r="I117" s="51" t="s">
        <v>1067</v>
      </c>
    </row>
    <row r="118">
      <c r="A118" s="51" t="s">
        <v>1068</v>
      </c>
      <c r="B118" s="91">
        <v>46114.0</v>
      </c>
      <c r="C118" s="51" t="s">
        <v>478</v>
      </c>
      <c r="D118" s="92">
        <v>0.36319444444444443</v>
      </c>
      <c r="E118" s="92">
        <v>0.7444444444444445</v>
      </c>
      <c r="F118" s="49">
        <v>36.0</v>
      </c>
      <c r="G118" s="51">
        <v>9.16</v>
      </c>
      <c r="H118" s="51" t="s">
        <v>381</v>
      </c>
      <c r="I118" s="51" t="s">
        <v>1069</v>
      </c>
    </row>
    <row r="119">
      <c r="A119" s="51" t="s">
        <v>1070</v>
      </c>
      <c r="B119" s="91">
        <v>46114.0</v>
      </c>
      <c r="C119" s="51" t="s">
        <v>472</v>
      </c>
      <c r="D119" s="92">
        <v>0.36319444444444443</v>
      </c>
      <c r="E119" s="92">
        <v>0.7513888888888889</v>
      </c>
      <c r="F119" s="49">
        <v>37.0</v>
      </c>
      <c r="G119" s="51">
        <v>9.3</v>
      </c>
      <c r="H119" s="51" t="s">
        <v>381</v>
      </c>
      <c r="I119" s="51" t="s">
        <v>1071</v>
      </c>
    </row>
    <row r="120">
      <c r="A120" s="51" t="s">
        <v>1072</v>
      </c>
      <c r="B120" s="91">
        <v>46114.0</v>
      </c>
      <c r="C120" s="51" t="s">
        <v>459</v>
      </c>
      <c r="D120" s="92">
        <v>0.37083333333333335</v>
      </c>
      <c r="E120" s="92">
        <v>0.7930555555555555</v>
      </c>
      <c r="F120" s="49">
        <v>96.0</v>
      </c>
      <c r="G120" s="51">
        <v>178.12</v>
      </c>
      <c r="H120" s="51" t="s">
        <v>381</v>
      </c>
      <c r="I120" s="51" t="s">
        <v>1073</v>
      </c>
    </row>
    <row r="121">
      <c r="A121" s="51" t="s">
        <v>1074</v>
      </c>
      <c r="B121" s="91">
        <v>46114.0</v>
      </c>
      <c r="C121" s="51" t="s">
        <v>444</v>
      </c>
      <c r="D121" s="92">
        <v>0.3715277777777778</v>
      </c>
      <c r="E121" s="92">
        <v>0.3923611111111111</v>
      </c>
      <c r="F121" s="49">
        <v>35.0</v>
      </c>
      <c r="G121" s="51">
        <v>192.49</v>
      </c>
      <c r="H121" s="51" t="s">
        <v>381</v>
      </c>
      <c r="I121" s="51" t="s">
        <v>1035</v>
      </c>
    </row>
    <row r="122">
      <c r="A122" s="51" t="s">
        <v>1075</v>
      </c>
      <c r="B122" s="91">
        <v>46114.0</v>
      </c>
      <c r="C122" s="51" t="s">
        <v>468</v>
      </c>
      <c r="D122" s="92">
        <v>0.375</v>
      </c>
      <c r="E122" s="52"/>
      <c r="F122" s="52"/>
      <c r="G122" s="52"/>
      <c r="H122" s="51" t="s">
        <v>381</v>
      </c>
      <c r="I122" s="51" t="s">
        <v>1031</v>
      </c>
    </row>
    <row r="123">
      <c r="A123" s="81" t="s">
        <v>1076</v>
      </c>
      <c r="B123" s="93">
        <v>46114.0</v>
      </c>
      <c r="C123" s="81" t="s">
        <v>478</v>
      </c>
      <c r="D123" s="94">
        <v>0.7652777777777777</v>
      </c>
      <c r="E123" s="94">
        <v>0.7659722222222223</v>
      </c>
      <c r="F123" s="79">
        <v>1036.0</v>
      </c>
      <c r="G123" s="81">
        <v>0.01</v>
      </c>
      <c r="H123" s="81" t="s">
        <v>378</v>
      </c>
      <c r="I123" s="81" t="s">
        <v>1077</v>
      </c>
    </row>
    <row r="124">
      <c r="A124" s="95" t="s">
        <v>1078</v>
      </c>
      <c r="B124" s="96">
        <v>46116.0</v>
      </c>
      <c r="C124" s="95" t="s">
        <v>448</v>
      </c>
      <c r="D124" s="97">
        <v>0.3402777777777778</v>
      </c>
      <c r="E124" s="97">
        <v>0.8791666666666667</v>
      </c>
      <c r="F124" s="98">
        <v>36.0</v>
      </c>
      <c r="G124" s="95">
        <v>12.92</v>
      </c>
      <c r="H124" s="95" t="s">
        <v>381</v>
      </c>
      <c r="I124" s="95" t="s">
        <v>1079</v>
      </c>
    </row>
    <row r="125">
      <c r="A125" s="95" t="s">
        <v>1080</v>
      </c>
      <c r="B125" s="96">
        <v>46116.0</v>
      </c>
      <c r="C125" s="95" t="s">
        <v>520</v>
      </c>
      <c r="D125" s="97">
        <v>0.34930555555555554</v>
      </c>
      <c r="E125" s="97">
        <v>0.5277777777777778</v>
      </c>
      <c r="F125" s="98">
        <v>35.0</v>
      </c>
      <c r="G125" s="95">
        <v>4.29</v>
      </c>
      <c r="H125" s="95" t="s">
        <v>381</v>
      </c>
      <c r="I125" s="95" t="s">
        <v>1042</v>
      </c>
    </row>
    <row r="126">
      <c r="A126" s="95" t="s">
        <v>1081</v>
      </c>
      <c r="B126" s="96">
        <v>46116.0</v>
      </c>
      <c r="C126" s="95" t="s">
        <v>441</v>
      </c>
      <c r="D126" s="97">
        <v>0.36527777777777776</v>
      </c>
      <c r="E126" s="97">
        <v>0.7138888888888889</v>
      </c>
      <c r="F126" s="98">
        <v>91.0</v>
      </c>
      <c r="G126" s="95">
        <v>8.36</v>
      </c>
      <c r="H126" s="95" t="s">
        <v>381</v>
      </c>
      <c r="I126" s="95" t="s">
        <v>1082</v>
      </c>
    </row>
    <row r="127">
      <c r="A127" s="95" t="s">
        <v>1083</v>
      </c>
      <c r="B127" s="96">
        <v>46116.0</v>
      </c>
      <c r="C127" s="95" t="s">
        <v>463</v>
      </c>
      <c r="D127" s="97">
        <v>0.3659722222222222</v>
      </c>
      <c r="E127" s="97">
        <v>0.7472222222222222</v>
      </c>
      <c r="F127" s="98">
        <v>70.0</v>
      </c>
      <c r="G127" s="95">
        <v>9.14</v>
      </c>
      <c r="H127" s="95" t="s">
        <v>381</v>
      </c>
      <c r="I127" s="95" t="s">
        <v>1084</v>
      </c>
    </row>
    <row r="128">
      <c r="A128" s="95" t="s">
        <v>1085</v>
      </c>
      <c r="B128" s="96">
        <v>46116.0</v>
      </c>
      <c r="C128" s="95" t="s">
        <v>459</v>
      </c>
      <c r="D128" s="97">
        <v>0.36736111111111114</v>
      </c>
      <c r="E128" s="97">
        <v>0.7131944444444445</v>
      </c>
      <c r="F128" s="98">
        <v>36.0</v>
      </c>
      <c r="G128" s="95">
        <v>1106792.0</v>
      </c>
      <c r="H128" s="95" t="s">
        <v>381</v>
      </c>
      <c r="I128" s="95" t="s">
        <v>1086</v>
      </c>
    </row>
    <row r="129">
      <c r="A129" s="95" t="s">
        <v>1087</v>
      </c>
      <c r="B129" s="96">
        <v>46116.0</v>
      </c>
      <c r="C129" s="95" t="s">
        <v>472</v>
      </c>
      <c r="D129" s="97">
        <v>0.36875</v>
      </c>
      <c r="E129" s="97">
        <v>0.37083333333333335</v>
      </c>
      <c r="F129" s="98">
        <v>15.0</v>
      </c>
      <c r="G129" s="95">
        <v>120.06</v>
      </c>
      <c r="H129" s="95" t="s">
        <v>381</v>
      </c>
      <c r="I129" s="95" t="s">
        <v>1088</v>
      </c>
    </row>
    <row r="130">
      <c r="A130" s="95" t="s">
        <v>1089</v>
      </c>
      <c r="B130" s="96">
        <v>46116.0</v>
      </c>
      <c r="C130" s="95" t="s">
        <v>1023</v>
      </c>
      <c r="D130" s="97">
        <v>0.36875</v>
      </c>
      <c r="E130" s="99"/>
      <c r="F130" s="99"/>
      <c r="G130" s="99"/>
      <c r="H130" s="95" t="s">
        <v>381</v>
      </c>
      <c r="I130" s="95" t="s">
        <v>1090</v>
      </c>
    </row>
    <row r="131">
      <c r="A131" s="95" t="s">
        <v>1091</v>
      </c>
      <c r="B131" s="96">
        <v>46116.0</v>
      </c>
      <c r="C131" s="95" t="s">
        <v>452</v>
      </c>
      <c r="D131" s="97">
        <v>0.36944444444444446</v>
      </c>
      <c r="E131" s="97">
        <v>0.7451388888888889</v>
      </c>
      <c r="F131" s="98">
        <v>35.0</v>
      </c>
      <c r="G131" s="95">
        <v>9.01</v>
      </c>
      <c r="H131" s="95" t="s">
        <v>381</v>
      </c>
      <c r="I131" s="95" t="s">
        <v>1092</v>
      </c>
    </row>
    <row r="132">
      <c r="A132" s="95" t="s">
        <v>1093</v>
      </c>
      <c r="B132" s="96">
        <v>46116.0</v>
      </c>
      <c r="C132" s="95" t="s">
        <v>444</v>
      </c>
      <c r="D132" s="97">
        <v>0.3701388888888889</v>
      </c>
      <c r="E132" s="97">
        <v>0.3638888888888889</v>
      </c>
      <c r="F132" s="98">
        <v>25.0</v>
      </c>
      <c r="G132" s="95">
        <v>167.84</v>
      </c>
      <c r="H132" s="95" t="s">
        <v>381</v>
      </c>
      <c r="I132" s="95" t="s">
        <v>1094</v>
      </c>
    </row>
    <row r="133">
      <c r="A133" s="95" t="s">
        <v>1095</v>
      </c>
      <c r="B133" s="96">
        <v>46116.0</v>
      </c>
      <c r="C133" s="95" t="s">
        <v>468</v>
      </c>
      <c r="D133" s="97">
        <v>0.3923611111111111</v>
      </c>
      <c r="E133" s="99"/>
      <c r="F133" s="99"/>
      <c r="G133" s="99"/>
      <c r="H133" s="95" t="s">
        <v>378</v>
      </c>
      <c r="I133" s="95" t="s">
        <v>965</v>
      </c>
    </row>
    <row r="134">
      <c r="A134" s="63" t="s">
        <v>1096</v>
      </c>
      <c r="B134" s="100">
        <v>46118.0</v>
      </c>
      <c r="C134" s="63" t="s">
        <v>448</v>
      </c>
      <c r="D134" s="101">
        <v>0.325</v>
      </c>
      <c r="E134" s="101">
        <v>0.7444444444444445</v>
      </c>
      <c r="F134" s="61">
        <v>35.0</v>
      </c>
      <c r="G134" s="63">
        <v>82.07</v>
      </c>
      <c r="H134" s="63" t="s">
        <v>381</v>
      </c>
      <c r="I134" s="63" t="s">
        <v>1097</v>
      </c>
    </row>
    <row r="135">
      <c r="A135" s="63" t="s">
        <v>1098</v>
      </c>
      <c r="B135" s="100">
        <v>46118.0</v>
      </c>
      <c r="C135" s="63" t="s">
        <v>452</v>
      </c>
      <c r="D135" s="101">
        <v>0.35208333333333336</v>
      </c>
      <c r="E135" s="101">
        <v>0.7402777777777778</v>
      </c>
      <c r="F135" s="61">
        <v>46.0</v>
      </c>
      <c r="G135" s="63">
        <v>9.31</v>
      </c>
      <c r="H135" s="63" t="s">
        <v>381</v>
      </c>
      <c r="I135" s="63" t="s">
        <v>1099</v>
      </c>
    </row>
    <row r="136">
      <c r="A136" s="63" t="s">
        <v>1100</v>
      </c>
      <c r="B136" s="100">
        <v>46118.0</v>
      </c>
      <c r="C136" s="63" t="s">
        <v>520</v>
      </c>
      <c r="D136" s="101">
        <v>0.3597222222222222</v>
      </c>
      <c r="E136" s="101">
        <v>0.75</v>
      </c>
      <c r="F136" s="61">
        <v>35.0</v>
      </c>
      <c r="G136" s="63">
        <v>9.37</v>
      </c>
      <c r="H136" s="63" t="s">
        <v>381</v>
      </c>
      <c r="I136" s="63" t="s">
        <v>1026</v>
      </c>
    </row>
    <row r="137">
      <c r="A137" s="63" t="s">
        <v>1101</v>
      </c>
      <c r="B137" s="100">
        <v>46118.0</v>
      </c>
      <c r="C137" s="63" t="s">
        <v>472</v>
      </c>
      <c r="D137" s="101">
        <v>0.36180555555555555</v>
      </c>
      <c r="E137" s="101">
        <v>0.3902777777777778</v>
      </c>
      <c r="F137" s="61">
        <v>35.0</v>
      </c>
      <c r="G137" s="63">
        <v>48.68</v>
      </c>
      <c r="H137" s="63" t="s">
        <v>381</v>
      </c>
      <c r="I137" s="63" t="s">
        <v>422</v>
      </c>
    </row>
    <row r="138">
      <c r="A138" s="63" t="s">
        <v>1102</v>
      </c>
      <c r="B138" s="100">
        <v>46118.0</v>
      </c>
      <c r="C138" s="63" t="s">
        <v>463</v>
      </c>
      <c r="D138" s="101">
        <v>0.36319444444444443</v>
      </c>
      <c r="E138" s="101">
        <v>0.74375</v>
      </c>
      <c r="F138" s="61">
        <v>86.0</v>
      </c>
      <c r="G138" s="63">
        <v>9.13</v>
      </c>
      <c r="H138" s="63" t="s">
        <v>381</v>
      </c>
      <c r="I138" s="63" t="s">
        <v>1103</v>
      </c>
    </row>
    <row r="139">
      <c r="A139" s="63" t="s">
        <v>1104</v>
      </c>
      <c r="B139" s="100">
        <v>46118.0</v>
      </c>
      <c r="C139" s="63" t="s">
        <v>459</v>
      </c>
      <c r="D139" s="101">
        <v>0.36666666666666664</v>
      </c>
      <c r="E139" s="101">
        <v>0.7916666666666666</v>
      </c>
      <c r="F139" s="61">
        <v>0.0</v>
      </c>
      <c r="G139" s="63">
        <v>82.21</v>
      </c>
      <c r="H139" s="63" t="s">
        <v>381</v>
      </c>
      <c r="I139" s="63" t="s">
        <v>395</v>
      </c>
    </row>
    <row r="140">
      <c r="A140" s="63" t="s">
        <v>1105</v>
      </c>
      <c r="B140" s="100">
        <v>46118.0</v>
      </c>
      <c r="C140" s="63" t="s">
        <v>1023</v>
      </c>
      <c r="D140" s="101">
        <v>0.37222222222222223</v>
      </c>
      <c r="E140" s="101">
        <v>0.36666666666666664</v>
      </c>
      <c r="F140" s="65"/>
      <c r="G140" s="63">
        <v>119.86</v>
      </c>
      <c r="H140" s="63" t="s">
        <v>381</v>
      </c>
      <c r="I140" s="63" t="s">
        <v>1106</v>
      </c>
    </row>
    <row r="141">
      <c r="A141" s="63" t="s">
        <v>1107</v>
      </c>
      <c r="B141" s="100">
        <v>46118.0</v>
      </c>
      <c r="C141" s="63" t="s">
        <v>444</v>
      </c>
      <c r="D141" s="101">
        <v>0.3729166666666667</v>
      </c>
      <c r="E141" s="101">
        <v>0.39166666666666666</v>
      </c>
      <c r="F141" s="61">
        <v>0.0</v>
      </c>
      <c r="G141" s="63">
        <v>48.47</v>
      </c>
      <c r="H141" s="63" t="s">
        <v>381</v>
      </c>
      <c r="I141" s="63" t="s">
        <v>1108</v>
      </c>
    </row>
    <row r="142">
      <c r="A142" s="63" t="s">
        <v>1109</v>
      </c>
      <c r="B142" s="100">
        <v>46118.0</v>
      </c>
      <c r="C142" s="63" t="s">
        <v>468</v>
      </c>
      <c r="D142" s="101">
        <v>0.3784722222222222</v>
      </c>
      <c r="E142" s="101">
        <v>0.7576388888888889</v>
      </c>
      <c r="F142" s="61">
        <v>25.0</v>
      </c>
      <c r="G142" s="63">
        <v>1106840.8</v>
      </c>
      <c r="H142" s="63" t="s">
        <v>381</v>
      </c>
      <c r="I142" s="63" t="s">
        <v>1110</v>
      </c>
    </row>
    <row r="143">
      <c r="A143" s="63" t="s">
        <v>1111</v>
      </c>
      <c r="B143" s="100">
        <v>46118.0</v>
      </c>
      <c r="C143" s="63" t="s">
        <v>441</v>
      </c>
      <c r="D143" s="101">
        <v>0.4076388888888889</v>
      </c>
      <c r="E143" s="101">
        <v>0.7534722222222222</v>
      </c>
      <c r="F143" s="61">
        <v>35.0</v>
      </c>
      <c r="G143" s="63">
        <v>8.3</v>
      </c>
      <c r="H143" s="63" t="s">
        <v>378</v>
      </c>
      <c r="I143" s="63" t="s">
        <v>1112</v>
      </c>
    </row>
    <row r="145">
      <c r="A145" s="69" t="s">
        <v>1113</v>
      </c>
      <c r="B145" s="102">
        <v>46119.0</v>
      </c>
      <c r="C145" s="69" t="s">
        <v>448</v>
      </c>
      <c r="D145" s="103">
        <v>0.31527777777777777</v>
      </c>
      <c r="E145" s="103">
        <v>0.8493055555555555</v>
      </c>
      <c r="F145" s="67">
        <v>36.0</v>
      </c>
      <c r="G145" s="69">
        <v>12.81</v>
      </c>
      <c r="H145" s="69" t="s">
        <v>381</v>
      </c>
      <c r="I145" s="69" t="s">
        <v>1114</v>
      </c>
    </row>
    <row r="146">
      <c r="A146" s="69" t="s">
        <v>1115</v>
      </c>
      <c r="B146" s="102">
        <v>46119.0</v>
      </c>
      <c r="C146" s="69" t="s">
        <v>441</v>
      </c>
      <c r="D146" s="103">
        <v>0.3458333333333333</v>
      </c>
      <c r="E146" s="103">
        <v>0.7409722222222223</v>
      </c>
      <c r="F146" s="67">
        <v>36.0</v>
      </c>
      <c r="G146" s="69">
        <v>9.49</v>
      </c>
      <c r="H146" s="69" t="s">
        <v>381</v>
      </c>
      <c r="I146" s="69" t="s">
        <v>1116</v>
      </c>
    </row>
    <row r="147">
      <c r="A147" s="69" t="s">
        <v>1117</v>
      </c>
      <c r="B147" s="102">
        <v>46119.0</v>
      </c>
      <c r="C147" s="69" t="s">
        <v>520</v>
      </c>
      <c r="D147" s="103">
        <v>0.35138888888888886</v>
      </c>
      <c r="E147" s="103">
        <v>0.7506944444444444</v>
      </c>
      <c r="F147" s="67">
        <v>0.0</v>
      </c>
      <c r="G147" s="69">
        <v>9.59</v>
      </c>
      <c r="H147" s="69" t="s">
        <v>381</v>
      </c>
      <c r="I147" s="69" t="s">
        <v>1118</v>
      </c>
    </row>
    <row r="148">
      <c r="A148" s="69" t="s">
        <v>1119</v>
      </c>
      <c r="B148" s="102">
        <v>46119.0</v>
      </c>
      <c r="C148" s="69" t="s">
        <v>452</v>
      </c>
      <c r="D148" s="103">
        <v>0.3548611111111111</v>
      </c>
      <c r="E148" s="103">
        <v>0.7409722222222223</v>
      </c>
      <c r="F148" s="67">
        <v>0.0</v>
      </c>
      <c r="G148" s="69">
        <v>9.26</v>
      </c>
      <c r="H148" s="69" t="s">
        <v>381</v>
      </c>
      <c r="I148" s="69" t="s">
        <v>1120</v>
      </c>
    </row>
    <row r="149">
      <c r="A149" s="69" t="s">
        <v>1121</v>
      </c>
      <c r="B149" s="102">
        <v>46119.0</v>
      </c>
      <c r="C149" s="69" t="s">
        <v>463</v>
      </c>
      <c r="D149" s="103">
        <v>0.35694444444444445</v>
      </c>
      <c r="E149" s="103">
        <v>0.7416666666666667</v>
      </c>
      <c r="F149" s="67">
        <v>84.0</v>
      </c>
      <c r="G149" s="69">
        <v>9.25</v>
      </c>
      <c r="H149" s="69" t="s">
        <v>381</v>
      </c>
      <c r="I149" s="69" t="s">
        <v>1122</v>
      </c>
    </row>
    <row r="150">
      <c r="A150" s="69" t="s">
        <v>1123</v>
      </c>
      <c r="B150" s="102">
        <v>46119.0</v>
      </c>
      <c r="C150" s="69" t="s">
        <v>1023</v>
      </c>
      <c r="D150" s="103">
        <v>0.36875</v>
      </c>
      <c r="E150" s="71"/>
      <c r="F150" s="71"/>
      <c r="G150" s="71"/>
      <c r="H150" s="69" t="s">
        <v>381</v>
      </c>
      <c r="I150" s="69" t="s">
        <v>1124</v>
      </c>
    </row>
    <row r="151">
      <c r="A151" s="69" t="s">
        <v>1125</v>
      </c>
      <c r="B151" s="102">
        <v>46119.0</v>
      </c>
      <c r="C151" s="69" t="s">
        <v>459</v>
      </c>
      <c r="D151" s="103">
        <v>0.3715277777777778</v>
      </c>
      <c r="E151" s="103">
        <v>0.6055555555555555</v>
      </c>
      <c r="F151" s="67">
        <v>41.0</v>
      </c>
      <c r="G151" s="69">
        <v>1106861.33</v>
      </c>
      <c r="H151" s="69" t="s">
        <v>381</v>
      </c>
      <c r="I151" s="69" t="s">
        <v>1126</v>
      </c>
    </row>
    <row r="152">
      <c r="A152" s="69" t="s">
        <v>1127</v>
      </c>
      <c r="B152" s="102">
        <v>46119.0</v>
      </c>
      <c r="C152" s="69" t="s">
        <v>472</v>
      </c>
      <c r="D152" s="103">
        <v>0.37777777777777777</v>
      </c>
      <c r="E152" s="103">
        <v>0.7652777777777777</v>
      </c>
      <c r="F152" s="67">
        <v>62.0</v>
      </c>
      <c r="G152" s="69">
        <v>1106865.01</v>
      </c>
      <c r="H152" s="69" t="s">
        <v>381</v>
      </c>
      <c r="I152" s="69" t="s">
        <v>1128</v>
      </c>
    </row>
    <row r="153">
      <c r="A153" s="69" t="s">
        <v>1129</v>
      </c>
      <c r="B153" s="102">
        <v>46119.0</v>
      </c>
      <c r="C153" s="69" t="s">
        <v>444</v>
      </c>
      <c r="D153" s="103">
        <v>0.38125</v>
      </c>
      <c r="E153" s="71"/>
      <c r="F153" s="71"/>
      <c r="G153" s="71"/>
      <c r="H153" s="69" t="s">
        <v>381</v>
      </c>
      <c r="I153" s="69" t="s">
        <v>395</v>
      </c>
    </row>
    <row r="154">
      <c r="A154" s="46" t="s">
        <v>1130</v>
      </c>
      <c r="B154" s="89">
        <v>46120.0</v>
      </c>
      <c r="C154" s="46" t="s">
        <v>441</v>
      </c>
      <c r="D154" s="90">
        <v>0.33819444444444446</v>
      </c>
      <c r="E154" s="90">
        <v>0.7097222222222223</v>
      </c>
      <c r="F154" s="44">
        <v>33.0</v>
      </c>
      <c r="G154" s="46">
        <v>8.93</v>
      </c>
      <c r="H154" s="46" t="s">
        <v>381</v>
      </c>
      <c r="I154" s="46" t="s">
        <v>1131</v>
      </c>
    </row>
    <row r="155">
      <c r="A155" s="46" t="s">
        <v>1132</v>
      </c>
      <c r="B155" s="89">
        <v>46120.0</v>
      </c>
      <c r="C155" s="46" t="s">
        <v>448</v>
      </c>
      <c r="D155" s="90">
        <v>0.3506944444444444</v>
      </c>
      <c r="E155" s="90">
        <v>0.7319444444444444</v>
      </c>
      <c r="F155" s="44">
        <v>0.0</v>
      </c>
      <c r="G155" s="46">
        <v>9.15</v>
      </c>
      <c r="H155" s="46" t="s">
        <v>381</v>
      </c>
      <c r="I155" s="46" t="s">
        <v>1133</v>
      </c>
    </row>
    <row r="156">
      <c r="A156" s="46" t="s">
        <v>1134</v>
      </c>
      <c r="B156" s="89">
        <v>46120.0</v>
      </c>
      <c r="C156" s="46" t="s">
        <v>452</v>
      </c>
      <c r="D156" s="90">
        <v>0.36319444444444443</v>
      </c>
      <c r="E156" s="90">
        <v>0.7402777777777778</v>
      </c>
      <c r="F156" s="44">
        <v>15.0</v>
      </c>
      <c r="G156" s="46">
        <v>9.06</v>
      </c>
      <c r="H156" s="46" t="s">
        <v>381</v>
      </c>
      <c r="I156" s="46" t="s">
        <v>1135</v>
      </c>
    </row>
    <row r="157">
      <c r="A157" s="46" t="s">
        <v>1136</v>
      </c>
      <c r="B157" s="89">
        <v>46120.0</v>
      </c>
      <c r="C157" s="46" t="s">
        <v>520</v>
      </c>
      <c r="D157" s="90">
        <v>0.36319444444444443</v>
      </c>
      <c r="E157" s="90">
        <v>0.7513888888888889</v>
      </c>
      <c r="F157" s="44">
        <v>35.0</v>
      </c>
      <c r="G157" s="46">
        <v>9.32</v>
      </c>
      <c r="H157" s="46" t="s">
        <v>381</v>
      </c>
      <c r="I157" s="46" t="s">
        <v>1137</v>
      </c>
    </row>
    <row r="158">
      <c r="A158" s="46" t="s">
        <v>1138</v>
      </c>
      <c r="B158" s="89">
        <v>46120.0</v>
      </c>
      <c r="C158" s="46" t="s">
        <v>459</v>
      </c>
      <c r="D158" s="90">
        <v>0.3638888888888889</v>
      </c>
      <c r="E158" s="90">
        <v>0.7027777777777777</v>
      </c>
      <c r="F158" s="44">
        <v>56.0</v>
      </c>
      <c r="G158" s="46">
        <v>8.12</v>
      </c>
      <c r="H158" s="46" t="s">
        <v>381</v>
      </c>
      <c r="I158" s="46" t="s">
        <v>1126</v>
      </c>
    </row>
    <row r="159">
      <c r="A159" s="46" t="s">
        <v>1139</v>
      </c>
      <c r="B159" s="89">
        <v>46120.0</v>
      </c>
      <c r="C159" s="46" t="s">
        <v>463</v>
      </c>
      <c r="D159" s="90">
        <v>0.36944444444444446</v>
      </c>
      <c r="E159" s="90">
        <v>0.7465277777777778</v>
      </c>
      <c r="F159" s="44">
        <v>0.0</v>
      </c>
      <c r="G159" s="46">
        <v>9.05</v>
      </c>
      <c r="H159" s="46" t="s">
        <v>381</v>
      </c>
      <c r="I159" s="46" t="s">
        <v>1140</v>
      </c>
    </row>
    <row r="160">
      <c r="A160" s="46" t="s">
        <v>1141</v>
      </c>
      <c r="B160" s="89">
        <v>46120.0</v>
      </c>
      <c r="C160" s="46" t="s">
        <v>478</v>
      </c>
      <c r="D160" s="90">
        <v>0.375</v>
      </c>
      <c r="E160" s="90">
        <v>0.8416666666666667</v>
      </c>
      <c r="F160" s="44">
        <v>35.0</v>
      </c>
      <c r="G160" s="46">
        <v>11.2</v>
      </c>
      <c r="H160" s="46" t="s">
        <v>381</v>
      </c>
      <c r="I160" s="46" t="s">
        <v>1142</v>
      </c>
    </row>
    <row r="161">
      <c r="A161" s="46" t="s">
        <v>1143</v>
      </c>
      <c r="B161" s="89">
        <v>46120.0</v>
      </c>
      <c r="C161" s="46" t="s">
        <v>444</v>
      </c>
      <c r="D161" s="90">
        <v>0.3923611111111111</v>
      </c>
      <c r="E161" s="90">
        <v>0.3923611111111111</v>
      </c>
      <c r="F161" s="44">
        <v>98.0</v>
      </c>
      <c r="G161" s="46">
        <v>48.0</v>
      </c>
      <c r="H161" s="46" t="s">
        <v>378</v>
      </c>
      <c r="I161" s="46" t="s">
        <v>1144</v>
      </c>
    </row>
    <row r="162">
      <c r="A162" s="46" t="s">
        <v>1145</v>
      </c>
      <c r="B162" s="89">
        <v>46120.0</v>
      </c>
      <c r="C162" s="46" t="s">
        <v>472</v>
      </c>
      <c r="D162" s="90">
        <v>0.39305555555555555</v>
      </c>
      <c r="E162" s="90">
        <v>0.7666666666666667</v>
      </c>
      <c r="F162" s="44">
        <v>16.0</v>
      </c>
      <c r="G162" s="46">
        <v>8.96</v>
      </c>
      <c r="H162" s="46" t="s">
        <v>378</v>
      </c>
      <c r="I162" s="46" t="s">
        <v>1146</v>
      </c>
    </row>
    <row r="163">
      <c r="A163" s="51" t="s">
        <v>1147</v>
      </c>
      <c r="B163" s="91">
        <v>46121.0</v>
      </c>
      <c r="C163" s="51" t="s">
        <v>448</v>
      </c>
      <c r="D163" s="92">
        <v>0.28888888888888886</v>
      </c>
      <c r="E163" s="52"/>
      <c r="F163" s="52"/>
      <c r="G163" s="52"/>
      <c r="H163" s="51" t="s">
        <v>381</v>
      </c>
      <c r="I163" s="51" t="s">
        <v>1148</v>
      </c>
    </row>
    <row r="164">
      <c r="A164" s="51" t="s">
        <v>1149</v>
      </c>
      <c r="B164" s="91">
        <v>46121.0</v>
      </c>
      <c r="C164" s="51" t="s">
        <v>463</v>
      </c>
      <c r="D164" s="92">
        <v>0.34652777777777777</v>
      </c>
      <c r="E164" s="92">
        <v>0.7458333333333333</v>
      </c>
      <c r="F164" s="49">
        <v>72.0</v>
      </c>
      <c r="G164" s="51">
        <v>9.59</v>
      </c>
      <c r="H164" s="51" t="s">
        <v>381</v>
      </c>
      <c r="I164" s="51" t="s">
        <v>438</v>
      </c>
    </row>
    <row r="165">
      <c r="A165" s="51" t="s">
        <v>1150</v>
      </c>
      <c r="B165" s="91">
        <v>46121.0</v>
      </c>
      <c r="C165" s="51" t="s">
        <v>452</v>
      </c>
      <c r="D165" s="92">
        <v>0.36527777777777776</v>
      </c>
      <c r="E165" s="92">
        <v>0.7388888888888889</v>
      </c>
      <c r="F165" s="49">
        <v>35.0</v>
      </c>
      <c r="G165" s="51">
        <v>8.96</v>
      </c>
      <c r="H165" s="51" t="s">
        <v>381</v>
      </c>
      <c r="I165" s="51" t="s">
        <v>1151</v>
      </c>
    </row>
    <row r="166">
      <c r="A166" s="51" t="s">
        <v>1152</v>
      </c>
      <c r="B166" s="91">
        <v>46121.0</v>
      </c>
      <c r="C166" s="51" t="s">
        <v>472</v>
      </c>
      <c r="D166" s="92">
        <v>0.3715277777777778</v>
      </c>
      <c r="E166" s="92">
        <v>0.7604166666666666</v>
      </c>
      <c r="F166" s="49">
        <v>36.0</v>
      </c>
      <c r="G166" s="51">
        <v>9.34</v>
      </c>
      <c r="H166" s="51" t="s">
        <v>381</v>
      </c>
      <c r="I166" s="51" t="s">
        <v>1133</v>
      </c>
    </row>
    <row r="167">
      <c r="A167" s="51" t="s">
        <v>1153</v>
      </c>
      <c r="B167" s="91">
        <v>46121.0</v>
      </c>
      <c r="C167" s="51" t="s">
        <v>441</v>
      </c>
      <c r="D167" s="92">
        <v>0.375</v>
      </c>
      <c r="E167" s="92">
        <v>0.7243055555555555</v>
      </c>
      <c r="F167" s="49">
        <v>0.0</v>
      </c>
      <c r="G167" s="51">
        <v>8.38</v>
      </c>
      <c r="H167" s="51" t="s">
        <v>381</v>
      </c>
      <c r="I167" s="51" t="s">
        <v>1154</v>
      </c>
    </row>
    <row r="168">
      <c r="A168" s="51" t="s">
        <v>1155</v>
      </c>
      <c r="B168" s="91">
        <v>46121.0</v>
      </c>
      <c r="C168" s="51" t="s">
        <v>478</v>
      </c>
      <c r="D168" s="92">
        <v>0.3763888888888889</v>
      </c>
      <c r="E168" s="92">
        <v>0.7972222222222223</v>
      </c>
      <c r="F168" s="49">
        <v>36.0</v>
      </c>
      <c r="G168" s="51">
        <v>10.1</v>
      </c>
      <c r="H168" s="51" t="s">
        <v>381</v>
      </c>
      <c r="I168" s="51" t="s">
        <v>1156</v>
      </c>
    </row>
    <row r="169">
      <c r="A169" s="51" t="s">
        <v>1157</v>
      </c>
      <c r="B169" s="91">
        <v>46121.0</v>
      </c>
      <c r="C169" s="51" t="s">
        <v>520</v>
      </c>
      <c r="D169" s="92">
        <v>0.3798611111111111</v>
      </c>
      <c r="E169" s="92">
        <v>0.7451388888888889</v>
      </c>
      <c r="F169" s="49">
        <v>35.0</v>
      </c>
      <c r="G169" s="51">
        <v>8.77</v>
      </c>
      <c r="H169" s="51" t="s">
        <v>381</v>
      </c>
      <c r="I169" s="51" t="s">
        <v>1158</v>
      </c>
    </row>
    <row r="170">
      <c r="A170" s="51" t="s">
        <v>1159</v>
      </c>
      <c r="B170" s="91">
        <v>46121.0</v>
      </c>
      <c r="C170" s="51" t="s">
        <v>468</v>
      </c>
      <c r="D170" s="92">
        <v>0.38263888888888886</v>
      </c>
      <c r="E170" s="92">
        <v>0.7472222222222222</v>
      </c>
      <c r="F170" s="49">
        <v>60.0</v>
      </c>
      <c r="G170" s="51">
        <v>8.74</v>
      </c>
      <c r="H170" s="51" t="s">
        <v>381</v>
      </c>
      <c r="I170" s="51" t="s">
        <v>965</v>
      </c>
    </row>
    <row r="171">
      <c r="A171" s="51" t="s">
        <v>1160</v>
      </c>
      <c r="B171" s="91">
        <v>46121.0</v>
      </c>
      <c r="C171" s="51" t="s">
        <v>459</v>
      </c>
      <c r="D171" s="92">
        <v>0.4027777777777778</v>
      </c>
      <c r="E171" s="52"/>
      <c r="F171" s="52"/>
      <c r="G171" s="52"/>
      <c r="H171" s="51" t="s">
        <v>378</v>
      </c>
      <c r="I171" s="51" t="s">
        <v>1161</v>
      </c>
    </row>
    <row r="172">
      <c r="A172" s="104" t="s">
        <v>1162</v>
      </c>
      <c r="B172" s="105">
        <v>46122.0</v>
      </c>
      <c r="C172" s="104" t="s">
        <v>448</v>
      </c>
      <c r="D172" s="106">
        <v>0.32222222222222224</v>
      </c>
      <c r="E172" s="106">
        <v>0.9868055555555556</v>
      </c>
      <c r="F172" s="107">
        <v>84.0</v>
      </c>
      <c r="G172" s="104">
        <v>15.95</v>
      </c>
      <c r="H172" s="104" t="s">
        <v>381</v>
      </c>
      <c r="I172" s="104" t="s">
        <v>1133</v>
      </c>
    </row>
    <row r="173">
      <c r="A173" s="104" t="s">
        <v>1163</v>
      </c>
      <c r="B173" s="105">
        <v>46122.0</v>
      </c>
      <c r="C173" s="104" t="s">
        <v>441</v>
      </c>
      <c r="D173" s="106">
        <v>0.35347222222222224</v>
      </c>
      <c r="E173" s="106">
        <v>0.7298611111111111</v>
      </c>
      <c r="F173" s="107">
        <v>35.0</v>
      </c>
      <c r="G173" s="104">
        <v>9.03</v>
      </c>
      <c r="H173" s="104" t="s">
        <v>381</v>
      </c>
      <c r="I173" s="104" t="s">
        <v>1164</v>
      </c>
    </row>
    <row r="174">
      <c r="A174" s="104" t="s">
        <v>1165</v>
      </c>
      <c r="B174" s="105">
        <v>46122.0</v>
      </c>
      <c r="C174" s="104" t="s">
        <v>452</v>
      </c>
      <c r="D174" s="106">
        <v>0.3548611111111111</v>
      </c>
      <c r="E174" s="106">
        <v>0.7479166666666667</v>
      </c>
      <c r="F174" s="107">
        <v>20.0</v>
      </c>
      <c r="G174" s="104">
        <v>9.43</v>
      </c>
      <c r="H174" s="104" t="s">
        <v>381</v>
      </c>
      <c r="I174" s="104" t="s">
        <v>1166</v>
      </c>
    </row>
    <row r="175">
      <c r="A175" s="104" t="s">
        <v>1167</v>
      </c>
      <c r="B175" s="105">
        <v>46122.0</v>
      </c>
      <c r="C175" s="104" t="s">
        <v>520</v>
      </c>
      <c r="D175" s="106">
        <v>0.35555555555555557</v>
      </c>
      <c r="E175" s="106">
        <v>0.7611111111111111</v>
      </c>
      <c r="F175" s="107">
        <v>35.0</v>
      </c>
      <c r="G175" s="104">
        <v>9.73</v>
      </c>
      <c r="H175" s="104" t="s">
        <v>381</v>
      </c>
      <c r="I175" s="104" t="s">
        <v>1118</v>
      </c>
    </row>
    <row r="176">
      <c r="A176" s="104" t="s">
        <v>1168</v>
      </c>
      <c r="B176" s="105">
        <v>46122.0</v>
      </c>
      <c r="C176" s="104" t="s">
        <v>472</v>
      </c>
      <c r="D176" s="106">
        <v>0.3645833333333333</v>
      </c>
      <c r="E176" s="106">
        <v>0.8784722222222222</v>
      </c>
      <c r="F176" s="107">
        <v>72.0</v>
      </c>
      <c r="G176" s="104">
        <v>12.33</v>
      </c>
      <c r="H176" s="104" t="s">
        <v>381</v>
      </c>
      <c r="I176" s="104" t="s">
        <v>1133</v>
      </c>
    </row>
    <row r="177">
      <c r="A177" s="104" t="s">
        <v>1169</v>
      </c>
      <c r="B177" s="105">
        <v>46122.0</v>
      </c>
      <c r="C177" s="104" t="s">
        <v>478</v>
      </c>
      <c r="D177" s="106">
        <v>0.3736111111111111</v>
      </c>
      <c r="E177" s="106">
        <v>0.9465277777777777</v>
      </c>
      <c r="F177" s="107">
        <v>29.0</v>
      </c>
      <c r="G177" s="104">
        <v>13.76</v>
      </c>
      <c r="H177" s="104" t="s">
        <v>381</v>
      </c>
      <c r="I177" s="104" t="s">
        <v>1170</v>
      </c>
    </row>
    <row r="178">
      <c r="A178" s="104" t="s">
        <v>1171</v>
      </c>
      <c r="B178" s="105">
        <v>46122.0</v>
      </c>
      <c r="C178" s="104" t="s">
        <v>459</v>
      </c>
      <c r="D178" s="106">
        <v>0.37430555555555556</v>
      </c>
      <c r="E178" s="106">
        <v>0.7458333333333333</v>
      </c>
      <c r="F178" s="107">
        <v>35.0</v>
      </c>
      <c r="G178" s="104">
        <v>8.93</v>
      </c>
      <c r="H178" s="104" t="s">
        <v>381</v>
      </c>
      <c r="I178" s="104" t="s">
        <v>1172</v>
      </c>
    </row>
    <row r="179">
      <c r="A179" s="104" t="s">
        <v>1173</v>
      </c>
      <c r="B179" s="105">
        <v>46122.0</v>
      </c>
      <c r="C179" s="104" t="s">
        <v>463</v>
      </c>
      <c r="D179" s="106">
        <v>0.375</v>
      </c>
      <c r="E179" s="106">
        <v>0.7486111111111111</v>
      </c>
      <c r="F179" s="107">
        <v>70.0</v>
      </c>
      <c r="G179" s="104">
        <v>8.96</v>
      </c>
      <c r="H179" s="104" t="s">
        <v>381</v>
      </c>
      <c r="I179" s="104" t="s">
        <v>1174</v>
      </c>
    </row>
    <row r="180">
      <c r="A180" s="104" t="s">
        <v>1175</v>
      </c>
      <c r="B180" s="105">
        <v>46122.0</v>
      </c>
      <c r="C180" s="104" t="s">
        <v>468</v>
      </c>
      <c r="D180" s="106">
        <v>0.38125</v>
      </c>
      <c r="E180" s="106">
        <v>0.7652777777777777</v>
      </c>
      <c r="F180" s="107">
        <v>37.0</v>
      </c>
      <c r="G180" s="104">
        <v>9.2</v>
      </c>
      <c r="H180" s="104" t="s">
        <v>381</v>
      </c>
      <c r="I180" s="104" t="s">
        <v>438</v>
      </c>
    </row>
    <row r="181">
      <c r="A181" s="104" t="s">
        <v>1176</v>
      </c>
      <c r="B181" s="105">
        <v>46122.0</v>
      </c>
      <c r="C181" s="104" t="s">
        <v>444</v>
      </c>
      <c r="D181" s="106">
        <v>0.39305555555555555</v>
      </c>
      <c r="E181" s="106">
        <v>0.9138888888888889</v>
      </c>
      <c r="F181" s="107">
        <v>35.0</v>
      </c>
      <c r="G181" s="104">
        <v>1106940.21</v>
      </c>
      <c r="H181" s="104" t="s">
        <v>378</v>
      </c>
      <c r="I181" s="104" t="s">
        <v>1177</v>
      </c>
    </row>
    <row r="182">
      <c r="A182" s="36" t="s">
        <v>1178</v>
      </c>
      <c r="B182" s="87">
        <v>46123.0</v>
      </c>
      <c r="C182" s="36" t="s">
        <v>448</v>
      </c>
      <c r="D182" s="88">
        <v>0.32083333333333336</v>
      </c>
      <c r="H182" s="36" t="s">
        <v>381</v>
      </c>
      <c r="I182" s="36" t="s">
        <v>1179</v>
      </c>
    </row>
    <row r="183">
      <c r="A183" s="36" t="s">
        <v>1180</v>
      </c>
      <c r="B183" s="87">
        <v>46123.0</v>
      </c>
      <c r="C183" s="36" t="s">
        <v>452</v>
      </c>
      <c r="D183" s="88">
        <v>0.34791666666666665</v>
      </c>
      <c r="H183" s="36" t="s">
        <v>381</v>
      </c>
      <c r="I183" s="36" t="s">
        <v>1181</v>
      </c>
    </row>
    <row r="184">
      <c r="A184" s="36" t="s">
        <v>1182</v>
      </c>
      <c r="B184" s="87">
        <v>46123.0</v>
      </c>
      <c r="C184" s="36" t="s">
        <v>441</v>
      </c>
      <c r="D184" s="88">
        <v>0.36041666666666666</v>
      </c>
      <c r="H184" s="36" t="s">
        <v>381</v>
      </c>
      <c r="I184" s="36" t="s">
        <v>1183</v>
      </c>
    </row>
    <row r="185">
      <c r="A185" s="36" t="s">
        <v>1184</v>
      </c>
      <c r="B185" s="87">
        <v>46123.0</v>
      </c>
      <c r="C185" s="36" t="s">
        <v>444</v>
      </c>
      <c r="D185" s="88">
        <v>0.3638888888888889</v>
      </c>
      <c r="H185" s="36" t="s">
        <v>381</v>
      </c>
      <c r="I185" s="36" t="s">
        <v>1185</v>
      </c>
    </row>
    <row r="186">
      <c r="A186" s="36" t="s">
        <v>1186</v>
      </c>
      <c r="B186" s="87">
        <v>46123.0</v>
      </c>
      <c r="C186" s="36" t="s">
        <v>463</v>
      </c>
      <c r="D186" s="88">
        <v>0.3659722222222222</v>
      </c>
      <c r="H186" s="36" t="s">
        <v>381</v>
      </c>
      <c r="I186" s="36" t="s">
        <v>438</v>
      </c>
    </row>
    <row r="187">
      <c r="A187" s="36" t="s">
        <v>1187</v>
      </c>
      <c r="B187" s="87">
        <v>46123.0</v>
      </c>
      <c r="C187" s="36" t="s">
        <v>478</v>
      </c>
      <c r="D187" s="88">
        <v>0.36736111111111114</v>
      </c>
      <c r="H187" s="36" t="s">
        <v>381</v>
      </c>
      <c r="I187" s="36" t="s">
        <v>1188</v>
      </c>
    </row>
    <row r="188">
      <c r="A188" s="36" t="s">
        <v>1189</v>
      </c>
      <c r="B188" s="87">
        <v>46123.0</v>
      </c>
      <c r="C188" s="36" t="s">
        <v>472</v>
      </c>
      <c r="D188" s="88">
        <v>0.375</v>
      </c>
      <c r="H188" s="36" t="s">
        <v>381</v>
      </c>
      <c r="I188" s="36" t="s">
        <v>1190</v>
      </c>
    </row>
    <row r="189">
      <c r="A189" s="36" t="s">
        <v>1191</v>
      </c>
      <c r="B189" s="87">
        <v>46123.0</v>
      </c>
      <c r="C189" s="36" t="s">
        <v>459</v>
      </c>
      <c r="D189" s="88">
        <v>0.37569444444444444</v>
      </c>
      <c r="H189" s="36" t="s">
        <v>381</v>
      </c>
      <c r="I189" s="36" t="s">
        <v>1172</v>
      </c>
    </row>
    <row r="190">
      <c r="A190" s="36" t="s">
        <v>1192</v>
      </c>
      <c r="B190" s="87">
        <v>46123.0</v>
      </c>
      <c r="C190" s="36" t="s">
        <v>520</v>
      </c>
      <c r="D190" s="88">
        <v>0.3763888888888889</v>
      </c>
      <c r="H190" s="36" t="s">
        <v>381</v>
      </c>
      <c r="I190" s="36" t="s">
        <v>965</v>
      </c>
    </row>
    <row r="191">
      <c r="A191" s="36" t="s">
        <v>1193</v>
      </c>
      <c r="B191" s="87">
        <v>46123.0</v>
      </c>
      <c r="C191" s="36" t="s">
        <v>468</v>
      </c>
      <c r="D191" s="88">
        <v>0.38819444444444445</v>
      </c>
      <c r="H191" s="36" t="s">
        <v>378</v>
      </c>
      <c r="I191" s="36" t="s">
        <v>438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5"/>
    <col customWidth="1" min="3" max="3" width="16.38"/>
  </cols>
  <sheetData>
    <row r="1">
      <c r="A1" s="30" t="str">
        <f>IFERROR(__xludf.DUMMYFUNCTION("IMPORTRANGE(""1ZV3DZ_0OrV-84eoYEqaYOJ1zdVXPuWCkfEMy1MDbHas"", ""Timeline Editorr!C8:D57"")"),"Milestone description")</f>
        <v>Milestone description</v>
      </c>
      <c r="B1" s="30" t="str">
        <f>IFERROR(__xludf.DUMMYFUNCTION("""COMPUTED_VALUE"""),"Client")</f>
        <v>Client</v>
      </c>
      <c r="C1" s="30" t="str">
        <f>IFERROR(__xludf.DUMMYFUNCTION("IMPORTRANGE(""1ZV3DZ_0OrV-84eoYEqaYOJ1zdVXPuWCkfEMy1MDbHas"", ""Timeline Editorr!J8:J100"")"),"end")</f>
        <v>end</v>
      </c>
    </row>
    <row r="2">
      <c r="A2" s="108" t="str">
        <f>IFERROR(__xludf.DUMMYFUNCTION("""COMPUTED_VALUE"""),"King David")</f>
        <v>King David</v>
      </c>
      <c r="B2" s="108" t="str">
        <f>IFERROR(__xludf.DUMMYFUNCTION("""COMPUTED_VALUE"""),"Rewell")</f>
        <v>Rewell</v>
      </c>
      <c r="C2" s="109">
        <f>IFERROR(__xludf.DUMMYFUNCTION("""COMPUTED_VALUE"""),46120.0)</f>
        <v>46120</v>
      </c>
    </row>
    <row r="3">
      <c r="A3" s="108" t="str">
        <f>IFERROR(__xludf.DUMMYFUNCTION("""COMPUTED_VALUE"""),"Woman in Comanche Captivity")</f>
        <v>Woman in Comanche Captivity</v>
      </c>
      <c r="B3" s="108" t="str">
        <f>IFERROR(__xludf.DUMMYFUNCTION("""COMPUTED_VALUE"""),"Julia")</f>
        <v>Julia</v>
      </c>
      <c r="C3" s="109">
        <f>IFERROR(__xludf.DUMMYFUNCTION("""COMPUTED_VALUE"""),46123.0)</f>
        <v>46123</v>
      </c>
    </row>
    <row r="4">
      <c r="A4" s="108" t="str">
        <f>IFERROR(__xludf.DUMMYFUNCTION("""COMPUTED_VALUE"""),"Gay In Culture")</f>
        <v>Gay In Culture</v>
      </c>
      <c r="B4" s="108" t="str">
        <f>IFERROR(__xludf.DUMMYFUNCTION("""COMPUTED_VALUE"""),"Julia")</f>
        <v>Julia</v>
      </c>
      <c r="C4" s="109">
        <f>IFERROR(__xludf.DUMMYFUNCTION("""COMPUTED_VALUE"""),46121.0)</f>
        <v>46121</v>
      </c>
    </row>
    <row r="5">
      <c r="A5" s="108" t="str">
        <f>IFERROR(__xludf.DUMMYFUNCTION("""COMPUTED_VALUE"""),"Tribute Girl (in Qing Dynasty)")</f>
        <v>Tribute Girl (in Qing Dynasty)</v>
      </c>
      <c r="B5" s="108" t="str">
        <f>IFERROR(__xludf.DUMMYFUNCTION("""COMPUTED_VALUE"""),"Angelo")</f>
        <v>Angelo</v>
      </c>
      <c r="C5" s="109">
        <f>IFERROR(__xludf.DUMMYFUNCTION("""COMPUTED_VALUE"""),46121.0)</f>
        <v>46121</v>
      </c>
    </row>
    <row r="6">
      <c r="A6" s="108" t="str">
        <f>IFERROR(__xludf.DUMMYFUNCTION("""COMPUTED_VALUE"""),"AI IS EATING THE INTERNET")</f>
        <v>AI IS EATING THE INTERNET</v>
      </c>
      <c r="B6" s="108" t="str">
        <f>IFERROR(__xludf.DUMMYFUNCTION("""COMPUTED_VALUE"""),"Christen")</f>
        <v>Christen</v>
      </c>
      <c r="C6" s="109">
        <f>IFERROR(__xludf.DUMMYFUNCTION("""COMPUTED_VALUE"""),46123.0)</f>
        <v>46123</v>
      </c>
    </row>
    <row r="7">
      <c r="A7" s="108" t="str">
        <f>IFERROR(__xludf.DUMMYFUNCTION("""COMPUTED_VALUE"""),"Compilation Video Master")</f>
        <v>Compilation Video Master</v>
      </c>
      <c r="B7" s="108" t="str">
        <f>IFERROR(__xludf.DUMMYFUNCTION("""COMPUTED_VALUE"""),"Ryan")</f>
        <v>Ryan</v>
      </c>
      <c r="C7" s="110">
        <f>IFERROR(__xludf.DUMMYFUNCTION("""COMPUTED_VALUE"""),46127.0)</f>
        <v>46127</v>
      </c>
    </row>
    <row r="8">
      <c r="A8" s="108" t="str">
        <f>IFERROR(__xludf.DUMMYFUNCTION("""COMPUTED_VALUE"""),"Flower Boat Girl (in Qing Dynasty)")</f>
        <v>Flower Boat Girl (in Qing Dynasty)</v>
      </c>
      <c r="B8" s="108" t="str">
        <f>IFERROR(__xludf.DUMMYFUNCTION("""COMPUTED_VALUE"""),"Angelo")</f>
        <v>Angelo</v>
      </c>
      <c r="C8" s="109">
        <f>IFERROR(__xludf.DUMMYFUNCTION("""COMPUTED_VALUE"""),46123.0)</f>
        <v>46123</v>
      </c>
    </row>
    <row r="9">
      <c r="A9" s="108" t="str">
        <f>IFERROR(__xludf.DUMMYFUNCTION("""COMPUTED_VALUE"""),"How Slavery Really Started")</f>
        <v>How Slavery Really Started</v>
      </c>
      <c r="B9" s="108" t="str">
        <f>IFERROR(__xludf.DUMMYFUNCTION("""COMPUTED_VALUE"""),"Alex")</f>
        <v>Alex</v>
      </c>
      <c r="C9" s="109">
        <f>IFERROR(__xludf.DUMMYFUNCTION("""COMPUTED_VALUE"""),46127.0)</f>
        <v>46127</v>
      </c>
    </row>
    <row r="10">
      <c r="A10" s="108" t="str">
        <f>IFERROR(__xludf.DUMMYFUNCTION("""COMPUTED_VALUE"""),"Servant In Rich Households")</f>
        <v>Servant In Rich Households</v>
      </c>
      <c r="B10" s="108" t="str">
        <f>IFERROR(__xludf.DUMMYFUNCTION("""COMPUTED_VALUE"""),"Jason")</f>
        <v>Jason</v>
      </c>
      <c r="C10" s="109">
        <f>IFERROR(__xludf.DUMMYFUNCTION("""COMPUTED_VALUE"""),46127.0)</f>
        <v>46127</v>
      </c>
    </row>
    <row r="11">
      <c r="A11" s="108" t="str">
        <f>IFERROR(__xludf.DUMMYFUNCTION("""COMPUTED_VALUE"""),"Cambrian")</f>
        <v>Cambrian</v>
      </c>
      <c r="B11" s="108" t="str">
        <f>IFERROR(__xludf.DUMMYFUNCTION("""COMPUTED_VALUE"""),"Ioana")</f>
        <v>Ioana</v>
      </c>
      <c r="C11" s="109">
        <f>IFERROR(__xludf.DUMMYFUNCTION("""COMPUTED_VALUE"""),46128.0)</f>
        <v>46128</v>
      </c>
    </row>
    <row r="12">
      <c r="A12" s="108" t="str">
        <f>IFERROR(__xludf.DUMMYFUNCTION("""COMPUTED_VALUE"""),"King Baldvin IV")</f>
        <v>King Baldvin IV</v>
      </c>
      <c r="B12" s="108" t="str">
        <f>IFERROR(__xludf.DUMMYFUNCTION("""COMPUTED_VALUE"""),"Julia")</f>
        <v>Julia</v>
      </c>
      <c r="C12" s="109">
        <f>IFERROR(__xludf.DUMMYFUNCTION("""COMPUTED_VALUE"""),46128.0)</f>
        <v>46128</v>
      </c>
    </row>
    <row r="13">
      <c r="A13" s="108" t="str">
        <f>IFERROR(__xludf.DUMMYFUNCTION("""COMPUTED_VALUE"""),"Deino")</f>
        <v>Deino</v>
      </c>
      <c r="B13" s="108" t="str">
        <f>IFERROR(__xludf.DUMMYFUNCTION("""COMPUTED_VALUE"""),"Simon")</f>
        <v>Simon</v>
      </c>
      <c r="C13" s="109">
        <f>IFERROR(__xludf.DUMMYFUNCTION("""COMPUTED_VALUE"""),46129.0)</f>
        <v>46129</v>
      </c>
    </row>
    <row r="14">
      <c r="A14" s="108" t="str">
        <f>IFERROR(__xludf.DUMMYFUNCTION("""COMPUTED_VALUE"""),"Battle You Lost to Cats")</f>
        <v>Battle You Lost to Cats</v>
      </c>
      <c r="B14" s="108" t="str">
        <f>IFERROR(__xludf.DUMMYFUNCTION("""COMPUTED_VALUE"""),"Ryan")</f>
        <v>Ryan</v>
      </c>
      <c r="C14" s="109">
        <f>IFERROR(__xludf.DUMMYFUNCTION("""COMPUTED_VALUE"""),46130.0)</f>
        <v>46130</v>
      </c>
    </row>
    <row r="15">
      <c r="A15" s="108" t="str">
        <f>IFERROR(__xludf.DUMMYFUNCTION("""COMPUTED_VALUE""")," Gay in Amish Culture DD")</f>
        <v> Gay in Amish Culture DD</v>
      </c>
      <c r="B15" s="108" t="str">
        <f>IFERROR(__xludf.DUMMYFUNCTION("""COMPUTED_VALUE"""),"Julia")</f>
        <v>Julia</v>
      </c>
      <c r="C15" s="109">
        <f>IFERROR(__xludf.DUMMYFUNCTION("""COMPUTED_VALUE"""),46130.0)</f>
        <v>46130</v>
      </c>
    </row>
    <row r="16">
      <c r="A16" s="108"/>
      <c r="B16" s="108"/>
      <c r="C16" s="108"/>
    </row>
    <row r="17">
      <c r="A17" s="108"/>
      <c r="B17" s="108"/>
      <c r="C17" s="108"/>
    </row>
    <row r="18">
      <c r="A18" s="108"/>
      <c r="B18" s="108"/>
      <c r="C18" s="108"/>
    </row>
    <row r="19">
      <c r="A19" s="108"/>
      <c r="B19" s="108"/>
      <c r="C19" s="108"/>
    </row>
    <row r="20">
      <c r="A20" s="108"/>
      <c r="B20" s="108"/>
      <c r="C20" s="108"/>
    </row>
    <row r="21">
      <c r="A21" s="108"/>
      <c r="B21" s="108"/>
      <c r="C21" s="108"/>
    </row>
    <row r="22">
      <c r="A22" s="108"/>
      <c r="B22" s="108"/>
      <c r="C22" s="108"/>
    </row>
    <row r="23">
      <c r="A23" s="108"/>
      <c r="B23" s="108"/>
      <c r="C23" s="108"/>
    </row>
    <row r="24">
      <c r="A24" s="108"/>
      <c r="B24" s="108"/>
      <c r="C24" s="108"/>
    </row>
    <row r="25">
      <c r="A25" s="108"/>
      <c r="B25" s="108"/>
      <c r="C25" s="108"/>
    </row>
    <row r="26">
      <c r="A26" s="108"/>
      <c r="B26" s="108"/>
      <c r="C26" s="108"/>
    </row>
    <row r="27">
      <c r="A27" s="108"/>
      <c r="B27" s="108"/>
      <c r="C27" s="108"/>
    </row>
    <row r="28">
      <c r="A28" s="108"/>
      <c r="B28" s="108"/>
      <c r="C28" s="108"/>
    </row>
    <row r="29">
      <c r="A29" s="108"/>
      <c r="B29" s="108"/>
      <c r="C29" s="108"/>
    </row>
    <row r="30">
      <c r="A30" s="108"/>
      <c r="B30" s="108"/>
      <c r="C30" s="108"/>
    </row>
    <row r="31">
      <c r="A31" s="108"/>
      <c r="B31" s="108"/>
      <c r="C31" s="108"/>
    </row>
    <row r="32">
      <c r="A32" s="108"/>
      <c r="B32" s="108"/>
      <c r="C32" s="108"/>
    </row>
    <row r="33">
      <c r="A33" s="108"/>
      <c r="B33" s="108"/>
      <c r="C33" s="108"/>
    </row>
    <row r="34">
      <c r="A34" s="108"/>
      <c r="B34" s="108"/>
      <c r="C34" s="108"/>
    </row>
    <row r="35">
      <c r="A35" s="108"/>
      <c r="B35" s="108"/>
      <c r="C35" s="108"/>
    </row>
    <row r="36">
      <c r="A36" s="108"/>
      <c r="B36" s="108"/>
      <c r="C36" s="108"/>
    </row>
    <row r="37">
      <c r="A37" s="108"/>
      <c r="B37" s="108"/>
      <c r="C37" s="108"/>
    </row>
    <row r="38">
      <c r="A38" s="108"/>
      <c r="B38" s="108"/>
      <c r="C38" s="108"/>
    </row>
    <row r="39">
      <c r="A39" s="108"/>
      <c r="B39" s="108"/>
      <c r="C39" s="108"/>
    </row>
    <row r="40">
      <c r="A40" s="108"/>
      <c r="B40" s="108"/>
      <c r="C40" s="108"/>
    </row>
    <row r="41">
      <c r="A41" s="108"/>
      <c r="B41" s="108"/>
      <c r="C41" s="108"/>
    </row>
    <row r="42">
      <c r="A42" s="108"/>
      <c r="B42" s="108"/>
      <c r="C42" s="108"/>
    </row>
    <row r="43">
      <c r="A43" s="108"/>
      <c r="B43" s="108"/>
      <c r="C43" s="108"/>
    </row>
    <row r="44">
      <c r="A44" s="108"/>
      <c r="B44" s="108"/>
      <c r="C44" s="108"/>
    </row>
    <row r="45">
      <c r="A45" s="108"/>
      <c r="B45" s="108"/>
      <c r="C45" s="108"/>
    </row>
    <row r="46">
      <c r="A46" s="108"/>
      <c r="B46" s="108"/>
      <c r="C46" s="108"/>
    </row>
    <row r="47">
      <c r="A47" s="108"/>
      <c r="B47" s="108"/>
      <c r="C47" s="108"/>
    </row>
    <row r="48">
      <c r="A48" s="108"/>
      <c r="B48" s="108"/>
      <c r="C48" s="108"/>
    </row>
    <row r="49">
      <c r="A49" s="108"/>
      <c r="B49" s="108"/>
      <c r="C49" s="108"/>
    </row>
    <row r="50">
      <c r="A50" s="108"/>
      <c r="B50" s="108"/>
      <c r="C50" s="108"/>
    </row>
    <row r="51">
      <c r="C51" s="108"/>
    </row>
    <row r="52">
      <c r="C52" s="108"/>
    </row>
    <row r="53">
      <c r="C53" s="108"/>
    </row>
    <row r="54">
      <c r="C54" s="108"/>
    </row>
    <row r="55">
      <c r="C55" s="108"/>
    </row>
    <row r="56">
      <c r="C56" s="108"/>
    </row>
    <row r="57">
      <c r="C57" s="108"/>
    </row>
    <row r="58">
      <c r="C58" s="108"/>
    </row>
    <row r="59">
      <c r="C59" s="108"/>
    </row>
    <row r="60">
      <c r="C60" s="108"/>
    </row>
    <row r="61">
      <c r="C61" s="108"/>
    </row>
    <row r="62">
      <c r="C62" s="108"/>
    </row>
    <row r="63">
      <c r="C63" s="108"/>
    </row>
    <row r="64">
      <c r="C64" s="108"/>
    </row>
    <row r="65">
      <c r="C65" s="108"/>
    </row>
    <row r="66">
      <c r="C66" s="108"/>
    </row>
    <row r="67">
      <c r="C67" s="108"/>
    </row>
    <row r="68">
      <c r="C68" s="108"/>
    </row>
    <row r="69">
      <c r="C69" s="108"/>
    </row>
    <row r="70">
      <c r="C70" s="108"/>
    </row>
    <row r="71">
      <c r="C71" s="108"/>
    </row>
    <row r="72">
      <c r="C72" s="108"/>
    </row>
    <row r="73">
      <c r="C73" s="108"/>
    </row>
    <row r="74">
      <c r="C74" s="108"/>
    </row>
    <row r="75">
      <c r="C75" s="108"/>
    </row>
    <row r="76">
      <c r="C76" s="108"/>
    </row>
    <row r="77">
      <c r="C77" s="108"/>
    </row>
    <row r="78">
      <c r="C78" s="108"/>
    </row>
    <row r="79">
      <c r="C79" s="108"/>
    </row>
    <row r="80">
      <c r="C80" s="108"/>
    </row>
    <row r="81">
      <c r="C81" s="108"/>
    </row>
    <row r="82">
      <c r="C82" s="108"/>
    </row>
    <row r="83">
      <c r="C83" s="108"/>
    </row>
    <row r="84">
      <c r="C84" s="108"/>
    </row>
    <row r="85">
      <c r="C85" s="108"/>
    </row>
    <row r="86">
      <c r="C86" s="108"/>
    </row>
    <row r="87">
      <c r="C87" s="108"/>
    </row>
    <row r="88">
      <c r="C88" s="108"/>
    </row>
    <row r="89">
      <c r="C89" s="108"/>
    </row>
    <row r="90">
      <c r="C90" s="108"/>
    </row>
    <row r="91">
      <c r="C91" s="108"/>
    </row>
    <row r="92">
      <c r="C92" s="108"/>
    </row>
    <row r="93">
      <c r="C93" s="10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88"/>
    <col customWidth="1" min="2" max="2" width="5.88"/>
    <col customWidth="1" min="3" max="3" width="22.38"/>
    <col customWidth="1" min="4" max="4" width="19.13"/>
    <col customWidth="1" min="5" max="5" width="16.5"/>
    <col customWidth="1" min="8" max="8" width="16.75"/>
    <col customWidth="1" min="9" max="9" width="24.25"/>
    <col customWidth="1" min="10" max="10" width="43.75"/>
    <col customWidth="1" min="11" max="11" width="17.5"/>
    <col customWidth="1" min="12" max="12" width="39.25"/>
  </cols>
  <sheetData>
    <row r="1" ht="38.25" customHeight="1">
      <c r="A1" s="1" t="s">
        <v>369</v>
      </c>
      <c r="B1" s="1" t="s">
        <v>0</v>
      </c>
      <c r="C1" s="1" t="s">
        <v>1</v>
      </c>
      <c r="D1" s="1" t="s">
        <v>1194</v>
      </c>
      <c r="E1" s="1" t="s">
        <v>1195</v>
      </c>
      <c r="F1" s="1" t="s">
        <v>1196</v>
      </c>
      <c r="G1" s="1" t="s">
        <v>1197</v>
      </c>
      <c r="H1" s="1" t="s">
        <v>1198</v>
      </c>
      <c r="I1" s="1" t="s">
        <v>1199</v>
      </c>
      <c r="J1" s="1" t="s">
        <v>1200</v>
      </c>
      <c r="K1" s="1" t="s">
        <v>1201</v>
      </c>
      <c r="L1" s="111" t="s">
        <v>1202</v>
      </c>
    </row>
    <row r="2" ht="22.5" customHeight="1">
      <c r="A2" s="23" t="s">
        <v>1203</v>
      </c>
      <c r="B2" s="21">
        <v>1.0</v>
      </c>
      <c r="C2" s="112">
        <v>46121.0</v>
      </c>
      <c r="D2" s="23" t="s">
        <v>12</v>
      </c>
      <c r="E2" s="23" t="s">
        <v>1204</v>
      </c>
      <c r="F2" s="112">
        <v>46136.0</v>
      </c>
      <c r="G2" s="112">
        <v>46137.0</v>
      </c>
      <c r="H2" s="28">
        <v>2.0</v>
      </c>
      <c r="I2" s="23" t="s">
        <v>1205</v>
      </c>
      <c r="J2" s="23" t="s">
        <v>1206</v>
      </c>
      <c r="K2" s="113" t="s">
        <v>1207</v>
      </c>
      <c r="L2" s="114"/>
    </row>
    <row r="3" ht="22.5" customHeight="1">
      <c r="B3" s="20"/>
      <c r="K3" s="115"/>
      <c r="L3" s="114"/>
    </row>
    <row r="4" ht="22.5" customHeight="1">
      <c r="B4" s="20"/>
      <c r="K4" s="115"/>
      <c r="L4" s="114"/>
    </row>
    <row r="5" ht="22.5" customHeight="1">
      <c r="B5" s="20"/>
      <c r="K5" s="115"/>
      <c r="L5" s="114"/>
    </row>
    <row r="6" ht="22.5" customHeight="1">
      <c r="B6" s="20"/>
      <c r="K6" s="115"/>
      <c r="L6" s="114"/>
    </row>
    <row r="7" ht="22.5" customHeight="1">
      <c r="B7" s="20"/>
      <c r="K7" s="115"/>
      <c r="L7" s="114"/>
    </row>
    <row r="8" ht="22.5" customHeight="1">
      <c r="B8" s="20"/>
      <c r="K8" s="115"/>
      <c r="L8" s="114"/>
    </row>
    <row r="9" ht="22.5" customHeight="1">
      <c r="B9" s="20"/>
      <c r="K9" s="115"/>
      <c r="L9" s="114"/>
    </row>
    <row r="10" ht="22.5" customHeight="1">
      <c r="B10" s="20"/>
      <c r="K10" s="115"/>
      <c r="L10" s="114"/>
    </row>
    <row r="11" ht="22.5" customHeight="1">
      <c r="B11" s="20"/>
      <c r="K11" s="115"/>
      <c r="L11" s="114"/>
    </row>
    <row r="12" ht="22.5" customHeight="1">
      <c r="B12" s="20"/>
      <c r="K12" s="115"/>
      <c r="L12" s="114"/>
    </row>
    <row r="13" ht="22.5" customHeight="1">
      <c r="B13" s="20"/>
      <c r="K13" s="115"/>
      <c r="L13" s="114"/>
    </row>
    <row r="14" ht="22.5" customHeight="1">
      <c r="B14" s="20"/>
      <c r="K14" s="115"/>
      <c r="L14" s="114"/>
    </row>
    <row r="15" ht="22.5" customHeight="1">
      <c r="B15" s="20"/>
      <c r="K15" s="115"/>
      <c r="L15" s="114"/>
    </row>
    <row r="16" ht="22.5" customHeight="1">
      <c r="B16" s="20"/>
      <c r="K16" s="115"/>
      <c r="L16" s="114"/>
    </row>
    <row r="17" ht="22.5" customHeight="1">
      <c r="B17" s="20"/>
      <c r="K17" s="115"/>
      <c r="L17" s="114"/>
    </row>
    <row r="18" ht="22.5" customHeight="1">
      <c r="B18" s="20"/>
      <c r="K18" s="115"/>
      <c r="L18" s="114"/>
    </row>
    <row r="19" ht="22.5" customHeight="1">
      <c r="B19" s="20"/>
      <c r="K19" s="115"/>
      <c r="L19" s="114"/>
    </row>
    <row r="20" ht="22.5" customHeight="1">
      <c r="B20" s="20"/>
      <c r="K20" s="115"/>
      <c r="L20" s="114"/>
    </row>
    <row r="21" ht="22.5" customHeight="1">
      <c r="B21" s="20"/>
      <c r="K21" s="115"/>
      <c r="L21" s="114"/>
    </row>
    <row r="22" ht="22.5" customHeight="1">
      <c r="B22" s="20"/>
      <c r="K22" s="115"/>
      <c r="L22" s="114"/>
    </row>
    <row r="23" ht="22.5" customHeight="1">
      <c r="B23" s="20"/>
      <c r="K23" s="115"/>
      <c r="L23" s="114"/>
    </row>
    <row r="24" ht="22.5" customHeight="1">
      <c r="B24" s="20"/>
      <c r="K24" s="115"/>
      <c r="L24" s="114"/>
    </row>
    <row r="25" ht="22.5" customHeight="1">
      <c r="B25" s="20"/>
      <c r="K25" s="115"/>
      <c r="L25" s="114"/>
    </row>
    <row r="26" ht="22.5" customHeight="1">
      <c r="B26" s="20"/>
      <c r="K26" s="115"/>
      <c r="L26" s="114"/>
    </row>
    <row r="27" ht="22.5" customHeight="1">
      <c r="B27" s="20"/>
      <c r="K27" s="115"/>
      <c r="L27" s="114"/>
    </row>
    <row r="28" ht="22.5" customHeight="1">
      <c r="B28" s="20"/>
      <c r="K28" s="115"/>
      <c r="L28" s="114"/>
    </row>
    <row r="29" ht="22.5" customHeight="1">
      <c r="B29" s="20"/>
      <c r="K29" s="115"/>
      <c r="L29" s="114"/>
    </row>
    <row r="30" ht="22.5" customHeight="1">
      <c r="B30" s="20"/>
      <c r="K30" s="115"/>
      <c r="L30" s="114"/>
    </row>
    <row r="31" ht="22.5" customHeight="1">
      <c r="B31" s="20"/>
      <c r="K31" s="115"/>
      <c r="L31" s="114"/>
    </row>
    <row r="32" ht="22.5" customHeight="1">
      <c r="B32" s="20"/>
      <c r="K32" s="115"/>
      <c r="L32" s="114"/>
    </row>
    <row r="33" ht="22.5" customHeight="1">
      <c r="B33" s="20"/>
      <c r="K33" s="115"/>
      <c r="L33" s="114"/>
    </row>
    <row r="34" ht="22.5" customHeight="1">
      <c r="B34" s="20"/>
      <c r="K34" s="115"/>
      <c r="L34" s="114"/>
    </row>
    <row r="35" ht="22.5" customHeight="1">
      <c r="B35" s="20"/>
      <c r="K35" s="115"/>
      <c r="L35" s="114"/>
    </row>
    <row r="36" ht="22.5" customHeight="1">
      <c r="B36" s="20"/>
      <c r="K36" s="115"/>
      <c r="L36" s="114"/>
    </row>
    <row r="37" ht="22.5" customHeight="1">
      <c r="B37" s="20"/>
      <c r="K37" s="115"/>
      <c r="L37" s="114"/>
    </row>
    <row r="38" ht="22.5" customHeight="1">
      <c r="B38" s="20"/>
      <c r="K38" s="115"/>
      <c r="L38" s="114"/>
    </row>
    <row r="39" ht="22.5" customHeight="1">
      <c r="B39" s="20"/>
      <c r="K39" s="115"/>
      <c r="L39" s="114"/>
    </row>
    <row r="40" ht="22.5" customHeight="1">
      <c r="B40" s="20"/>
      <c r="K40" s="115"/>
      <c r="L40" s="114"/>
    </row>
    <row r="41" ht="22.5" customHeight="1">
      <c r="B41" s="20"/>
      <c r="K41" s="115"/>
      <c r="L41" s="114"/>
    </row>
    <row r="42" ht="22.5" customHeight="1">
      <c r="B42" s="20"/>
      <c r="K42" s="115"/>
      <c r="L42" s="114"/>
    </row>
    <row r="43" ht="22.5" customHeight="1">
      <c r="B43" s="20"/>
      <c r="K43" s="115"/>
      <c r="L43" s="114"/>
    </row>
    <row r="44" ht="22.5" customHeight="1">
      <c r="B44" s="20"/>
      <c r="K44" s="115"/>
      <c r="L44" s="114"/>
    </row>
    <row r="45" ht="22.5" customHeight="1">
      <c r="B45" s="20"/>
      <c r="K45" s="115"/>
      <c r="L45" s="114"/>
    </row>
    <row r="46" ht="22.5" customHeight="1">
      <c r="B46" s="20"/>
      <c r="K46" s="115"/>
      <c r="L46" s="114"/>
    </row>
    <row r="47" ht="22.5" customHeight="1">
      <c r="B47" s="20"/>
      <c r="K47" s="115"/>
      <c r="L47" s="114"/>
    </row>
    <row r="48" ht="22.5" customHeight="1">
      <c r="B48" s="20"/>
      <c r="K48" s="115"/>
      <c r="L48" s="114"/>
    </row>
    <row r="49" ht="22.5" customHeight="1">
      <c r="B49" s="20"/>
      <c r="K49" s="115"/>
      <c r="L49" s="114"/>
    </row>
    <row r="50" ht="22.5" customHeight="1">
      <c r="B50" s="20"/>
      <c r="K50" s="115"/>
      <c r="L50" s="114"/>
    </row>
    <row r="51" ht="22.5" customHeight="1">
      <c r="B51" s="20"/>
      <c r="K51" s="115"/>
      <c r="L51" s="114"/>
    </row>
    <row r="52" ht="22.5" customHeight="1">
      <c r="B52" s="20"/>
      <c r="K52" s="115"/>
      <c r="L52" s="114"/>
    </row>
    <row r="53" ht="22.5" customHeight="1">
      <c r="B53" s="20"/>
      <c r="K53" s="115"/>
      <c r="L53" s="114"/>
    </row>
    <row r="54" ht="22.5" customHeight="1">
      <c r="B54" s="20"/>
      <c r="K54" s="115"/>
      <c r="L54" s="114"/>
    </row>
    <row r="55" ht="22.5" customHeight="1">
      <c r="B55" s="20"/>
      <c r="K55" s="115"/>
      <c r="L55" s="114"/>
    </row>
    <row r="56" ht="22.5" customHeight="1">
      <c r="B56" s="20"/>
      <c r="K56" s="115"/>
      <c r="L56" s="114"/>
    </row>
    <row r="57" ht="22.5" customHeight="1">
      <c r="B57" s="20"/>
      <c r="K57" s="115"/>
      <c r="L57" s="114"/>
    </row>
    <row r="58" ht="22.5" customHeight="1">
      <c r="B58" s="20"/>
      <c r="K58" s="115"/>
      <c r="L58" s="114"/>
    </row>
    <row r="59" ht="22.5" customHeight="1">
      <c r="B59" s="20"/>
      <c r="K59" s="115"/>
      <c r="L59" s="114"/>
    </row>
    <row r="60" ht="22.5" customHeight="1">
      <c r="B60" s="20"/>
      <c r="K60" s="115"/>
      <c r="L60" s="114"/>
    </row>
    <row r="61" ht="22.5" customHeight="1">
      <c r="B61" s="20"/>
      <c r="K61" s="115"/>
      <c r="L61" s="114"/>
    </row>
    <row r="62" ht="22.5" customHeight="1">
      <c r="B62" s="20"/>
      <c r="K62" s="115"/>
      <c r="L62" s="114"/>
    </row>
    <row r="63" ht="22.5" customHeight="1">
      <c r="B63" s="20"/>
      <c r="K63" s="115"/>
      <c r="L63" s="114"/>
    </row>
    <row r="64" ht="22.5" customHeight="1">
      <c r="B64" s="20"/>
      <c r="K64" s="115"/>
      <c r="L64" s="114"/>
    </row>
    <row r="65" ht="22.5" customHeight="1">
      <c r="B65" s="20"/>
      <c r="K65" s="115"/>
      <c r="L65" s="114"/>
    </row>
    <row r="66" ht="22.5" customHeight="1">
      <c r="B66" s="20"/>
      <c r="K66" s="115"/>
      <c r="L66" s="114"/>
    </row>
    <row r="67" ht="22.5" customHeight="1">
      <c r="B67" s="20"/>
      <c r="K67" s="115"/>
      <c r="L67" s="114"/>
    </row>
    <row r="68" ht="22.5" customHeight="1">
      <c r="B68" s="20"/>
      <c r="K68" s="115"/>
      <c r="L68" s="114"/>
    </row>
    <row r="69" ht="22.5" customHeight="1">
      <c r="B69" s="20"/>
      <c r="K69" s="115"/>
      <c r="L69" s="114"/>
    </row>
    <row r="70" ht="22.5" customHeight="1">
      <c r="B70" s="20"/>
      <c r="K70" s="115"/>
      <c r="L70" s="114"/>
    </row>
    <row r="71" ht="22.5" customHeight="1">
      <c r="B71" s="20"/>
      <c r="K71" s="115"/>
      <c r="L71" s="114"/>
    </row>
    <row r="72" ht="22.5" customHeight="1">
      <c r="B72" s="20"/>
      <c r="K72" s="115"/>
      <c r="L72" s="114"/>
    </row>
    <row r="73" ht="22.5" customHeight="1">
      <c r="B73" s="20"/>
      <c r="K73" s="115"/>
      <c r="L73" s="114"/>
    </row>
    <row r="74" ht="22.5" customHeight="1">
      <c r="B74" s="20"/>
      <c r="K74" s="115"/>
      <c r="L74" s="114"/>
    </row>
    <row r="75" ht="22.5" customHeight="1">
      <c r="B75" s="20"/>
      <c r="K75" s="115"/>
      <c r="L75" s="114"/>
    </row>
    <row r="76" ht="22.5" customHeight="1">
      <c r="B76" s="20"/>
      <c r="K76" s="115"/>
      <c r="L76" s="114"/>
    </row>
    <row r="77" ht="22.5" customHeight="1">
      <c r="B77" s="20"/>
      <c r="K77" s="115"/>
      <c r="L77" s="114"/>
    </row>
    <row r="78" ht="22.5" customHeight="1">
      <c r="B78" s="20"/>
      <c r="K78" s="115"/>
      <c r="L78" s="114"/>
    </row>
    <row r="79" ht="22.5" customHeight="1">
      <c r="B79" s="20"/>
      <c r="K79" s="115"/>
      <c r="L79" s="114"/>
    </row>
    <row r="80" ht="22.5" customHeight="1">
      <c r="B80" s="20"/>
      <c r="K80" s="115"/>
      <c r="L80" s="114"/>
    </row>
    <row r="81" ht="22.5" customHeight="1">
      <c r="B81" s="20"/>
      <c r="K81" s="115"/>
      <c r="L81" s="114"/>
    </row>
    <row r="82" ht="22.5" customHeight="1">
      <c r="B82" s="20"/>
      <c r="K82" s="115"/>
      <c r="L82" s="114"/>
    </row>
    <row r="83" ht="22.5" customHeight="1">
      <c r="B83" s="20"/>
      <c r="K83" s="115"/>
      <c r="L83" s="114"/>
    </row>
    <row r="84" ht="22.5" customHeight="1">
      <c r="B84" s="20"/>
      <c r="K84" s="115"/>
      <c r="L84" s="114"/>
    </row>
    <row r="85" ht="22.5" customHeight="1">
      <c r="B85" s="20"/>
      <c r="K85" s="115"/>
      <c r="L85" s="114"/>
    </row>
    <row r="86" ht="22.5" customHeight="1">
      <c r="B86" s="20"/>
      <c r="K86" s="115"/>
      <c r="L86" s="114"/>
    </row>
    <row r="87" ht="22.5" customHeight="1">
      <c r="B87" s="20"/>
      <c r="K87" s="115"/>
      <c r="L87" s="114"/>
    </row>
    <row r="88" ht="22.5" customHeight="1">
      <c r="B88" s="20"/>
      <c r="K88" s="115"/>
      <c r="L88" s="114"/>
    </row>
    <row r="89" ht="22.5" customHeight="1">
      <c r="B89" s="20"/>
      <c r="K89" s="115"/>
      <c r="L89" s="114"/>
    </row>
    <row r="90" ht="22.5" customHeight="1">
      <c r="B90" s="20"/>
      <c r="K90" s="115"/>
      <c r="L90" s="114"/>
    </row>
    <row r="91" ht="22.5" customHeight="1">
      <c r="B91" s="20"/>
      <c r="K91" s="115"/>
      <c r="L91" s="114"/>
    </row>
    <row r="92" ht="22.5" customHeight="1">
      <c r="B92" s="20"/>
      <c r="K92" s="115"/>
      <c r="L92" s="114"/>
    </row>
    <row r="93" ht="22.5" customHeight="1">
      <c r="B93" s="20"/>
      <c r="K93" s="115"/>
      <c r="L93" s="114"/>
    </row>
    <row r="94" ht="22.5" customHeight="1">
      <c r="B94" s="20"/>
      <c r="K94" s="115"/>
      <c r="L94" s="114"/>
    </row>
    <row r="95" ht="22.5" customHeight="1">
      <c r="B95" s="20"/>
      <c r="K95" s="115"/>
      <c r="L95" s="114"/>
    </row>
    <row r="96" ht="22.5" customHeight="1">
      <c r="B96" s="20"/>
      <c r="K96" s="115"/>
      <c r="L96" s="114"/>
    </row>
    <row r="97" ht="22.5" customHeight="1">
      <c r="B97" s="20"/>
      <c r="K97" s="115"/>
      <c r="L97" s="114"/>
    </row>
    <row r="98" ht="22.5" customHeight="1">
      <c r="B98" s="20"/>
      <c r="K98" s="115"/>
      <c r="L98" s="114"/>
    </row>
    <row r="99" ht="22.5" customHeight="1">
      <c r="B99" s="20"/>
      <c r="K99" s="115"/>
      <c r="L99" s="114"/>
    </row>
    <row r="100" ht="22.5" customHeight="1">
      <c r="B100" s="20"/>
      <c r="K100" s="115"/>
      <c r="L100" s="114"/>
    </row>
    <row r="101" ht="22.5" customHeight="1">
      <c r="B101" s="20"/>
      <c r="K101" s="115"/>
      <c r="L101" s="114"/>
    </row>
    <row r="102" ht="22.5" customHeight="1">
      <c r="B102" s="20"/>
      <c r="K102" s="115"/>
      <c r="L102" s="114"/>
    </row>
    <row r="103" ht="22.5" customHeight="1">
      <c r="B103" s="20"/>
      <c r="K103" s="115"/>
      <c r="L103" s="114"/>
    </row>
    <row r="104" ht="22.5" customHeight="1">
      <c r="B104" s="20"/>
      <c r="K104" s="115"/>
      <c r="L104" s="114"/>
    </row>
    <row r="105" ht="22.5" customHeight="1">
      <c r="B105" s="20"/>
      <c r="K105" s="115"/>
      <c r="L105" s="114"/>
    </row>
    <row r="106" ht="22.5" customHeight="1">
      <c r="B106" s="20"/>
      <c r="K106" s="115"/>
      <c r="L106" s="114"/>
    </row>
    <row r="107" ht="22.5" customHeight="1">
      <c r="B107" s="20"/>
      <c r="K107" s="115"/>
      <c r="L107" s="114"/>
    </row>
    <row r="108" ht="22.5" customHeight="1">
      <c r="B108" s="20"/>
      <c r="K108" s="115"/>
      <c r="L108" s="114"/>
    </row>
    <row r="109" ht="22.5" customHeight="1">
      <c r="B109" s="20"/>
      <c r="K109" s="115"/>
      <c r="L109" s="114"/>
    </row>
    <row r="110" ht="22.5" customHeight="1">
      <c r="B110" s="20"/>
      <c r="K110" s="115"/>
      <c r="L110" s="114"/>
    </row>
    <row r="111" ht="22.5" customHeight="1">
      <c r="B111" s="20"/>
      <c r="K111" s="115"/>
      <c r="L111" s="114"/>
    </row>
    <row r="112" ht="22.5" customHeight="1">
      <c r="B112" s="20"/>
      <c r="K112" s="115"/>
      <c r="L112" s="114"/>
    </row>
    <row r="113" ht="22.5" customHeight="1">
      <c r="B113" s="20"/>
      <c r="K113" s="115"/>
      <c r="L113" s="114"/>
    </row>
    <row r="114" ht="22.5" customHeight="1">
      <c r="B114" s="20"/>
      <c r="K114" s="115"/>
      <c r="L114" s="114"/>
    </row>
    <row r="115" ht="22.5" customHeight="1">
      <c r="B115" s="20"/>
      <c r="K115" s="115"/>
      <c r="L115" s="114"/>
    </row>
    <row r="116" ht="22.5" customHeight="1">
      <c r="B116" s="20"/>
      <c r="K116" s="115"/>
      <c r="L116" s="114"/>
    </row>
    <row r="117">
      <c r="B117" s="116"/>
    </row>
    <row r="118">
      <c r="B118" s="116"/>
    </row>
    <row r="119">
      <c r="B119" s="116"/>
    </row>
    <row r="120">
      <c r="B120" s="116"/>
    </row>
    <row r="121">
      <c r="B121" s="116"/>
    </row>
    <row r="122">
      <c r="B122" s="116"/>
    </row>
    <row r="123">
      <c r="B123" s="116"/>
    </row>
    <row r="124">
      <c r="B124" s="116"/>
    </row>
    <row r="125">
      <c r="B125" s="116"/>
    </row>
    <row r="126">
      <c r="B126" s="116"/>
    </row>
    <row r="127">
      <c r="B127" s="116"/>
    </row>
    <row r="128">
      <c r="B128" s="116"/>
    </row>
    <row r="129">
      <c r="B129" s="116"/>
    </row>
    <row r="130">
      <c r="B130" s="116"/>
    </row>
    <row r="131">
      <c r="B131" s="116"/>
    </row>
    <row r="132">
      <c r="B132" s="116"/>
    </row>
    <row r="133">
      <c r="B133" s="116"/>
    </row>
    <row r="134">
      <c r="B134" s="116"/>
    </row>
    <row r="135">
      <c r="B135" s="116"/>
    </row>
    <row r="136">
      <c r="B136" s="116"/>
    </row>
    <row r="137">
      <c r="B137" s="116"/>
    </row>
    <row r="138">
      <c r="B138" s="116"/>
    </row>
    <row r="139">
      <c r="B139" s="116"/>
    </row>
    <row r="140">
      <c r="B140" s="116"/>
    </row>
    <row r="141">
      <c r="B141" s="116"/>
    </row>
    <row r="142">
      <c r="B142" s="116"/>
    </row>
    <row r="143">
      <c r="B143" s="116"/>
    </row>
    <row r="144">
      <c r="B144" s="116"/>
    </row>
    <row r="145">
      <c r="B145" s="116"/>
    </row>
    <row r="146">
      <c r="B146" s="116"/>
    </row>
    <row r="147">
      <c r="B147" s="116"/>
    </row>
    <row r="148">
      <c r="B148" s="116"/>
    </row>
    <row r="149">
      <c r="B149" s="116"/>
    </row>
    <row r="150">
      <c r="B150" s="116"/>
    </row>
    <row r="151">
      <c r="B151" s="116"/>
    </row>
    <row r="152">
      <c r="B152" s="116"/>
    </row>
    <row r="153">
      <c r="B153" s="116"/>
    </row>
    <row r="154">
      <c r="B154" s="116"/>
    </row>
    <row r="155">
      <c r="B155" s="116"/>
    </row>
    <row r="156">
      <c r="B156" s="116"/>
    </row>
    <row r="157">
      <c r="B157" s="116"/>
    </row>
    <row r="158">
      <c r="B158" s="116"/>
    </row>
    <row r="159">
      <c r="B159" s="116"/>
    </row>
    <row r="160">
      <c r="B160" s="116"/>
    </row>
    <row r="161">
      <c r="B161" s="116"/>
    </row>
    <row r="162">
      <c r="B162" s="116"/>
    </row>
    <row r="163">
      <c r="B163" s="116"/>
    </row>
    <row r="164">
      <c r="B164" s="116"/>
    </row>
    <row r="165">
      <c r="B165" s="116"/>
    </row>
    <row r="166">
      <c r="B166" s="116"/>
    </row>
    <row r="167">
      <c r="B167" s="116"/>
    </row>
    <row r="168">
      <c r="B168" s="116"/>
    </row>
    <row r="169">
      <c r="B169" s="116"/>
    </row>
    <row r="170">
      <c r="B170" s="116"/>
    </row>
    <row r="171">
      <c r="B171" s="116"/>
    </row>
    <row r="172">
      <c r="B172" s="116"/>
    </row>
    <row r="173">
      <c r="B173" s="116"/>
    </row>
    <row r="174">
      <c r="B174" s="116"/>
    </row>
    <row r="175">
      <c r="B175" s="116"/>
    </row>
    <row r="176">
      <c r="B176" s="116"/>
    </row>
    <row r="177">
      <c r="B177" s="116"/>
    </row>
    <row r="178">
      <c r="B178" s="116"/>
    </row>
    <row r="179">
      <c r="B179" s="116"/>
    </row>
    <row r="180">
      <c r="B180" s="116"/>
    </row>
    <row r="181">
      <c r="B181" s="116"/>
    </row>
    <row r="182">
      <c r="B182" s="116"/>
    </row>
    <row r="183">
      <c r="B183" s="116"/>
    </row>
    <row r="184">
      <c r="B184" s="116"/>
    </row>
    <row r="185">
      <c r="B185" s="116"/>
    </row>
    <row r="186">
      <c r="B186" s="116"/>
    </row>
    <row r="187">
      <c r="B187" s="116"/>
    </row>
    <row r="188">
      <c r="B188" s="116"/>
    </row>
    <row r="189">
      <c r="B189" s="116"/>
    </row>
    <row r="190">
      <c r="B190" s="116"/>
    </row>
    <row r="191">
      <c r="B191" s="116"/>
    </row>
    <row r="192">
      <c r="B192" s="116"/>
    </row>
    <row r="193">
      <c r="B193" s="116"/>
    </row>
    <row r="194">
      <c r="B194" s="116"/>
    </row>
    <row r="195">
      <c r="B195" s="116"/>
    </row>
    <row r="196">
      <c r="B196" s="116"/>
    </row>
    <row r="197">
      <c r="B197" s="116"/>
    </row>
    <row r="198">
      <c r="B198" s="116"/>
    </row>
    <row r="199">
      <c r="B199" s="116"/>
    </row>
    <row r="200">
      <c r="B200" s="116"/>
    </row>
    <row r="201">
      <c r="B201" s="116"/>
    </row>
    <row r="202">
      <c r="B202" s="116"/>
    </row>
    <row r="203">
      <c r="B203" s="116"/>
    </row>
    <row r="204">
      <c r="B204" s="116"/>
    </row>
    <row r="205">
      <c r="B205" s="116"/>
    </row>
    <row r="206">
      <c r="B206" s="116"/>
    </row>
    <row r="207">
      <c r="B207" s="116"/>
    </row>
    <row r="208">
      <c r="B208" s="116"/>
    </row>
    <row r="209">
      <c r="B209" s="116"/>
    </row>
    <row r="210">
      <c r="B210" s="116"/>
    </row>
    <row r="211">
      <c r="B211" s="116"/>
    </row>
    <row r="212">
      <c r="B212" s="116"/>
    </row>
    <row r="213">
      <c r="B213" s="116"/>
    </row>
    <row r="214">
      <c r="B214" s="116"/>
    </row>
    <row r="215">
      <c r="B215" s="116"/>
    </row>
    <row r="216">
      <c r="B216" s="116"/>
    </row>
    <row r="217">
      <c r="B217" s="116"/>
    </row>
    <row r="218">
      <c r="B218" s="116"/>
    </row>
    <row r="219">
      <c r="B219" s="116"/>
    </row>
    <row r="220">
      <c r="B220" s="116"/>
    </row>
    <row r="221">
      <c r="B221" s="116"/>
    </row>
    <row r="222">
      <c r="B222" s="116"/>
    </row>
    <row r="223">
      <c r="B223" s="116"/>
    </row>
    <row r="224">
      <c r="B224" s="116"/>
    </row>
    <row r="225">
      <c r="B225" s="116"/>
    </row>
    <row r="226">
      <c r="B226" s="116"/>
    </row>
    <row r="227">
      <c r="B227" s="116"/>
    </row>
    <row r="228">
      <c r="B228" s="116"/>
    </row>
    <row r="229">
      <c r="B229" s="116"/>
    </row>
    <row r="230">
      <c r="B230" s="116"/>
    </row>
    <row r="231">
      <c r="B231" s="116"/>
    </row>
    <row r="232">
      <c r="B232" s="116"/>
    </row>
    <row r="233">
      <c r="B233" s="116"/>
    </row>
    <row r="234">
      <c r="B234" s="116"/>
    </row>
    <row r="235">
      <c r="B235" s="116"/>
    </row>
    <row r="236">
      <c r="B236" s="116"/>
    </row>
    <row r="237">
      <c r="B237" s="116"/>
    </row>
    <row r="238">
      <c r="B238" s="116"/>
    </row>
    <row r="239">
      <c r="B239" s="116"/>
    </row>
    <row r="240">
      <c r="B240" s="116"/>
    </row>
    <row r="241">
      <c r="B241" s="116"/>
    </row>
    <row r="242">
      <c r="B242" s="116"/>
    </row>
    <row r="243">
      <c r="B243" s="116"/>
    </row>
    <row r="244">
      <c r="B244" s="116"/>
    </row>
    <row r="245">
      <c r="B245" s="116"/>
    </row>
    <row r="246">
      <c r="B246" s="116"/>
    </row>
    <row r="247">
      <c r="B247" s="116"/>
    </row>
    <row r="248">
      <c r="B248" s="116"/>
    </row>
    <row r="249">
      <c r="B249" s="116"/>
    </row>
    <row r="250">
      <c r="B250" s="116"/>
    </row>
    <row r="251">
      <c r="B251" s="116"/>
    </row>
    <row r="252">
      <c r="B252" s="116"/>
    </row>
    <row r="253">
      <c r="B253" s="116"/>
    </row>
    <row r="254">
      <c r="B254" s="116"/>
    </row>
    <row r="255">
      <c r="B255" s="116"/>
    </row>
    <row r="256">
      <c r="B256" s="116"/>
    </row>
    <row r="257">
      <c r="B257" s="116"/>
    </row>
    <row r="258">
      <c r="B258" s="116"/>
    </row>
    <row r="259">
      <c r="B259" s="116"/>
    </row>
    <row r="260">
      <c r="B260" s="116"/>
    </row>
    <row r="261">
      <c r="B261" s="116"/>
    </row>
    <row r="262">
      <c r="B262" s="116"/>
    </row>
    <row r="263">
      <c r="B263" s="116"/>
    </row>
    <row r="264">
      <c r="B264" s="116"/>
    </row>
    <row r="265">
      <c r="B265" s="116"/>
    </row>
    <row r="266">
      <c r="B266" s="116"/>
    </row>
    <row r="267">
      <c r="B267" s="116"/>
    </row>
    <row r="268">
      <c r="B268" s="116"/>
    </row>
    <row r="269">
      <c r="B269" s="116"/>
    </row>
    <row r="270">
      <c r="B270" s="116"/>
    </row>
    <row r="271">
      <c r="B271" s="116"/>
    </row>
    <row r="272">
      <c r="B272" s="116"/>
    </row>
    <row r="273">
      <c r="B273" s="116"/>
    </row>
    <row r="274">
      <c r="B274" s="116"/>
    </row>
    <row r="275">
      <c r="B275" s="116"/>
    </row>
    <row r="276">
      <c r="B276" s="116"/>
    </row>
    <row r="277">
      <c r="B277" s="116"/>
    </row>
    <row r="278">
      <c r="B278" s="116"/>
    </row>
    <row r="279">
      <c r="B279" s="116"/>
    </row>
    <row r="280">
      <c r="B280" s="116"/>
    </row>
    <row r="281">
      <c r="B281" s="116"/>
    </row>
    <row r="282">
      <c r="B282" s="116"/>
    </row>
    <row r="283">
      <c r="B283" s="116"/>
    </row>
    <row r="284">
      <c r="B284" s="116"/>
    </row>
    <row r="285">
      <c r="B285" s="116"/>
    </row>
    <row r="286">
      <c r="B286" s="116"/>
    </row>
    <row r="287">
      <c r="B287" s="116"/>
    </row>
    <row r="288">
      <c r="B288" s="116"/>
    </row>
    <row r="289">
      <c r="B289" s="116"/>
    </row>
    <row r="290">
      <c r="B290" s="116"/>
    </row>
    <row r="291">
      <c r="B291" s="116"/>
    </row>
    <row r="292">
      <c r="B292" s="116"/>
    </row>
    <row r="293">
      <c r="B293" s="116"/>
    </row>
    <row r="294">
      <c r="B294" s="116"/>
    </row>
    <row r="295">
      <c r="B295" s="116"/>
    </row>
    <row r="296">
      <c r="B296" s="116"/>
    </row>
    <row r="297">
      <c r="B297" s="116"/>
    </row>
    <row r="298">
      <c r="B298" s="116"/>
    </row>
    <row r="299">
      <c r="B299" s="116"/>
    </row>
    <row r="300">
      <c r="B300" s="116"/>
    </row>
    <row r="301">
      <c r="B301" s="116"/>
    </row>
    <row r="302">
      <c r="B302" s="116"/>
    </row>
    <row r="303">
      <c r="B303" s="116"/>
    </row>
    <row r="304">
      <c r="B304" s="116"/>
    </row>
    <row r="305">
      <c r="B305" s="116"/>
    </row>
    <row r="306">
      <c r="B306" s="116"/>
    </row>
    <row r="307">
      <c r="B307" s="116"/>
    </row>
    <row r="308">
      <c r="B308" s="116"/>
    </row>
    <row r="309">
      <c r="B309" s="116"/>
    </row>
    <row r="310">
      <c r="B310" s="116"/>
    </row>
    <row r="311">
      <c r="B311" s="116"/>
    </row>
    <row r="312">
      <c r="B312" s="116"/>
    </row>
    <row r="313">
      <c r="B313" s="116"/>
    </row>
    <row r="314">
      <c r="B314" s="116"/>
    </row>
    <row r="315">
      <c r="B315" s="116"/>
    </row>
    <row r="316">
      <c r="B316" s="116"/>
    </row>
    <row r="317">
      <c r="B317" s="116"/>
    </row>
    <row r="318">
      <c r="B318" s="116"/>
    </row>
    <row r="319">
      <c r="B319" s="116"/>
    </row>
    <row r="320">
      <c r="B320" s="116"/>
    </row>
    <row r="321">
      <c r="B321" s="116"/>
    </row>
    <row r="322">
      <c r="B322" s="116"/>
    </row>
    <row r="323">
      <c r="B323" s="116"/>
    </row>
    <row r="324">
      <c r="B324" s="116"/>
    </row>
    <row r="325">
      <c r="B325" s="116"/>
    </row>
    <row r="326">
      <c r="B326" s="116"/>
    </row>
    <row r="327">
      <c r="B327" s="116"/>
    </row>
    <row r="328">
      <c r="B328" s="116"/>
    </row>
    <row r="329">
      <c r="B329" s="116"/>
    </row>
    <row r="330">
      <c r="B330" s="116"/>
    </row>
    <row r="331">
      <c r="B331" s="116"/>
    </row>
    <row r="332">
      <c r="B332" s="116"/>
    </row>
    <row r="333">
      <c r="B333" s="116"/>
    </row>
    <row r="334">
      <c r="B334" s="116"/>
    </row>
    <row r="335">
      <c r="B335" s="116"/>
    </row>
    <row r="336">
      <c r="B336" s="116"/>
    </row>
    <row r="337">
      <c r="B337" s="116"/>
    </row>
    <row r="338">
      <c r="B338" s="116"/>
    </row>
    <row r="339">
      <c r="B339" s="116"/>
    </row>
    <row r="340">
      <c r="B340" s="116"/>
    </row>
    <row r="341">
      <c r="B341" s="116"/>
    </row>
    <row r="342">
      <c r="B342" s="116"/>
    </row>
    <row r="343">
      <c r="B343" s="116"/>
    </row>
    <row r="344">
      <c r="B344" s="116"/>
    </row>
    <row r="345">
      <c r="B345" s="116"/>
    </row>
    <row r="346">
      <c r="B346" s="116"/>
    </row>
    <row r="347">
      <c r="B347" s="116"/>
    </row>
    <row r="348">
      <c r="B348" s="116"/>
    </row>
    <row r="349">
      <c r="B349" s="116"/>
    </row>
    <row r="350">
      <c r="B350" s="116"/>
    </row>
    <row r="351">
      <c r="B351" s="116"/>
    </row>
    <row r="352">
      <c r="B352" s="116"/>
    </row>
    <row r="353">
      <c r="B353" s="116"/>
    </row>
    <row r="354">
      <c r="B354" s="116"/>
    </row>
    <row r="355">
      <c r="B355" s="116"/>
    </row>
    <row r="356">
      <c r="B356" s="116"/>
    </row>
    <row r="357">
      <c r="B357" s="116"/>
    </row>
    <row r="358">
      <c r="B358" s="116"/>
    </row>
    <row r="359">
      <c r="B359" s="116"/>
    </row>
    <row r="360">
      <c r="B360" s="116"/>
    </row>
    <row r="361">
      <c r="B361" s="116"/>
    </row>
    <row r="362">
      <c r="B362" s="116"/>
    </row>
    <row r="363">
      <c r="B363" s="116"/>
    </row>
    <row r="364">
      <c r="B364" s="116"/>
    </row>
    <row r="365">
      <c r="B365" s="116"/>
    </row>
    <row r="366">
      <c r="B366" s="116"/>
    </row>
    <row r="367">
      <c r="B367" s="116"/>
    </row>
    <row r="368">
      <c r="B368" s="116"/>
    </row>
    <row r="369">
      <c r="B369" s="116"/>
    </row>
    <row r="370">
      <c r="B370" s="116"/>
    </row>
    <row r="371">
      <c r="B371" s="116"/>
    </row>
    <row r="372">
      <c r="B372" s="116"/>
    </row>
    <row r="373">
      <c r="B373" s="116"/>
    </row>
    <row r="374">
      <c r="B374" s="116"/>
    </row>
    <row r="375">
      <c r="B375" s="116"/>
    </row>
    <row r="376">
      <c r="B376" s="116"/>
    </row>
    <row r="377">
      <c r="B377" s="116"/>
    </row>
    <row r="378">
      <c r="B378" s="116"/>
    </row>
    <row r="379">
      <c r="B379" s="116"/>
    </row>
    <row r="380">
      <c r="B380" s="116"/>
    </row>
    <row r="381">
      <c r="B381" s="116"/>
    </row>
    <row r="382">
      <c r="B382" s="116"/>
    </row>
    <row r="383">
      <c r="B383" s="116"/>
    </row>
    <row r="384">
      <c r="B384" s="116"/>
    </row>
    <row r="385">
      <c r="B385" s="116"/>
    </row>
    <row r="386">
      <c r="B386" s="116"/>
    </row>
    <row r="387">
      <c r="B387" s="116"/>
    </row>
    <row r="388">
      <c r="B388" s="116"/>
    </row>
    <row r="389">
      <c r="B389" s="116"/>
    </row>
    <row r="390">
      <c r="B390" s="116"/>
    </row>
    <row r="391">
      <c r="B391" s="116"/>
    </row>
    <row r="392">
      <c r="B392" s="116"/>
    </row>
    <row r="393">
      <c r="B393" s="116"/>
    </row>
    <row r="394">
      <c r="B394" s="116"/>
    </row>
    <row r="395">
      <c r="B395" s="116"/>
    </row>
    <row r="396">
      <c r="B396" s="116"/>
    </row>
    <row r="397">
      <c r="B397" s="116"/>
    </row>
    <row r="398">
      <c r="B398" s="116"/>
    </row>
    <row r="399">
      <c r="B399" s="116"/>
    </row>
    <row r="400">
      <c r="B400" s="116"/>
    </row>
    <row r="401">
      <c r="B401" s="116"/>
    </row>
    <row r="402">
      <c r="B402" s="116"/>
    </row>
    <row r="403">
      <c r="B403" s="116"/>
    </row>
    <row r="404">
      <c r="B404" s="116"/>
    </row>
    <row r="405">
      <c r="B405" s="116"/>
    </row>
    <row r="406">
      <c r="B406" s="116"/>
    </row>
    <row r="407">
      <c r="B407" s="116"/>
    </row>
    <row r="408">
      <c r="B408" s="116"/>
    </row>
    <row r="409">
      <c r="B409" s="116"/>
    </row>
    <row r="410">
      <c r="B410" s="116"/>
    </row>
    <row r="411">
      <c r="B411" s="116"/>
    </row>
    <row r="412">
      <c r="B412" s="116"/>
    </row>
    <row r="413">
      <c r="B413" s="116"/>
    </row>
    <row r="414">
      <c r="B414" s="116"/>
    </row>
    <row r="415">
      <c r="B415" s="116"/>
    </row>
    <row r="416">
      <c r="B416" s="116"/>
    </row>
    <row r="417">
      <c r="B417" s="116"/>
    </row>
    <row r="418">
      <c r="B418" s="116"/>
    </row>
    <row r="419">
      <c r="B419" s="116"/>
    </row>
    <row r="420">
      <c r="B420" s="116"/>
    </row>
    <row r="421">
      <c r="B421" s="116"/>
    </row>
    <row r="422">
      <c r="B422" s="116"/>
    </row>
    <row r="423">
      <c r="B423" s="116"/>
    </row>
    <row r="424">
      <c r="B424" s="116"/>
    </row>
    <row r="425">
      <c r="B425" s="116"/>
    </row>
    <row r="426">
      <c r="B426" s="116"/>
    </row>
    <row r="427">
      <c r="B427" s="116"/>
    </row>
    <row r="428">
      <c r="B428" s="116"/>
    </row>
    <row r="429">
      <c r="B429" s="116"/>
    </row>
    <row r="430">
      <c r="B430" s="116"/>
    </row>
    <row r="431">
      <c r="B431" s="116"/>
    </row>
    <row r="432">
      <c r="B432" s="116"/>
    </row>
    <row r="433">
      <c r="B433" s="116"/>
    </row>
    <row r="434">
      <c r="B434" s="116"/>
    </row>
    <row r="435">
      <c r="B435" s="116"/>
    </row>
    <row r="436">
      <c r="B436" s="116"/>
    </row>
    <row r="437">
      <c r="B437" s="116"/>
    </row>
    <row r="438">
      <c r="B438" s="116"/>
    </row>
    <row r="439">
      <c r="B439" s="116"/>
    </row>
    <row r="440">
      <c r="B440" s="116"/>
    </row>
    <row r="441">
      <c r="B441" s="116"/>
    </row>
    <row r="442">
      <c r="B442" s="116"/>
    </row>
    <row r="443">
      <c r="B443" s="116"/>
    </row>
    <row r="444">
      <c r="B444" s="116"/>
    </row>
    <row r="445">
      <c r="B445" s="116"/>
    </row>
    <row r="446">
      <c r="B446" s="116"/>
    </row>
    <row r="447">
      <c r="B447" s="116"/>
    </row>
    <row r="448">
      <c r="B448" s="116"/>
    </row>
    <row r="449">
      <c r="B449" s="116"/>
    </row>
    <row r="450">
      <c r="B450" s="116"/>
    </row>
    <row r="451">
      <c r="B451" s="116"/>
    </row>
    <row r="452">
      <c r="B452" s="116"/>
    </row>
    <row r="453">
      <c r="B453" s="116"/>
    </row>
    <row r="454">
      <c r="B454" s="116"/>
    </row>
    <row r="455">
      <c r="B455" s="116"/>
    </row>
    <row r="456">
      <c r="B456" s="116"/>
    </row>
    <row r="457">
      <c r="B457" s="116"/>
    </row>
    <row r="458">
      <c r="B458" s="116"/>
    </row>
    <row r="459">
      <c r="B459" s="116"/>
    </row>
    <row r="460">
      <c r="B460" s="116"/>
    </row>
    <row r="461">
      <c r="B461" s="116"/>
    </row>
    <row r="462">
      <c r="B462" s="116"/>
    </row>
    <row r="463">
      <c r="B463" s="116"/>
    </row>
    <row r="464">
      <c r="B464" s="116"/>
    </row>
    <row r="465">
      <c r="B465" s="116"/>
    </row>
    <row r="466">
      <c r="B466" s="116"/>
    </row>
    <row r="467">
      <c r="B467" s="116"/>
    </row>
    <row r="468">
      <c r="B468" s="116"/>
    </row>
    <row r="469">
      <c r="B469" s="116"/>
    </row>
    <row r="470">
      <c r="B470" s="116"/>
    </row>
    <row r="471">
      <c r="B471" s="116"/>
    </row>
    <row r="472">
      <c r="B472" s="116"/>
    </row>
    <row r="473">
      <c r="B473" s="116"/>
    </row>
    <row r="474">
      <c r="B474" s="116"/>
    </row>
    <row r="475">
      <c r="B475" s="116"/>
    </row>
    <row r="476">
      <c r="B476" s="116"/>
    </row>
    <row r="477">
      <c r="B477" s="116"/>
    </row>
    <row r="478">
      <c r="B478" s="116"/>
    </row>
    <row r="479">
      <c r="B479" s="116"/>
    </row>
    <row r="480">
      <c r="B480" s="116"/>
    </row>
    <row r="481">
      <c r="B481" s="116"/>
    </row>
    <row r="482">
      <c r="B482" s="116"/>
    </row>
    <row r="483">
      <c r="B483" s="116"/>
    </row>
    <row r="484">
      <c r="B484" s="116"/>
    </row>
    <row r="485">
      <c r="B485" s="116"/>
    </row>
    <row r="486">
      <c r="B486" s="116"/>
    </row>
    <row r="487">
      <c r="B487" s="116"/>
    </row>
    <row r="488">
      <c r="B488" s="116"/>
    </row>
    <row r="489">
      <c r="B489" s="116"/>
    </row>
    <row r="490">
      <c r="B490" s="116"/>
    </row>
    <row r="491">
      <c r="B491" s="116"/>
    </row>
    <row r="492">
      <c r="B492" s="116"/>
    </row>
    <row r="493">
      <c r="B493" s="116"/>
    </row>
    <row r="494">
      <c r="B494" s="116"/>
    </row>
    <row r="495">
      <c r="B495" s="116"/>
    </row>
    <row r="496">
      <c r="B496" s="116"/>
    </row>
    <row r="497">
      <c r="B497" s="116"/>
    </row>
    <row r="498">
      <c r="B498" s="116"/>
    </row>
    <row r="499">
      <c r="B499" s="116"/>
    </row>
    <row r="500">
      <c r="B500" s="116"/>
    </row>
    <row r="501">
      <c r="B501" s="116"/>
    </row>
    <row r="502">
      <c r="B502" s="116"/>
    </row>
    <row r="503">
      <c r="B503" s="116"/>
    </row>
    <row r="504">
      <c r="B504" s="116"/>
    </row>
    <row r="505">
      <c r="B505" s="116"/>
    </row>
    <row r="506">
      <c r="B506" s="116"/>
    </row>
    <row r="507">
      <c r="B507" s="116"/>
    </row>
    <row r="508">
      <c r="B508" s="116"/>
    </row>
    <row r="509">
      <c r="B509" s="116"/>
    </row>
    <row r="510">
      <c r="B510" s="116"/>
    </row>
    <row r="511">
      <c r="B511" s="116"/>
    </row>
    <row r="512">
      <c r="B512" s="116"/>
    </row>
    <row r="513">
      <c r="B513" s="116"/>
    </row>
    <row r="514">
      <c r="B514" s="116"/>
    </row>
    <row r="515">
      <c r="B515" s="116"/>
    </row>
    <row r="516">
      <c r="B516" s="116"/>
    </row>
    <row r="517">
      <c r="B517" s="116"/>
    </row>
    <row r="518">
      <c r="B518" s="116"/>
    </row>
    <row r="519">
      <c r="B519" s="116"/>
    </row>
    <row r="520">
      <c r="B520" s="116"/>
    </row>
    <row r="521">
      <c r="B521" s="116"/>
    </row>
    <row r="522">
      <c r="B522" s="116"/>
    </row>
    <row r="523">
      <c r="B523" s="116"/>
    </row>
    <row r="524">
      <c r="B524" s="116"/>
    </row>
    <row r="525">
      <c r="B525" s="116"/>
    </row>
    <row r="526">
      <c r="B526" s="116"/>
    </row>
    <row r="527">
      <c r="B527" s="116"/>
    </row>
    <row r="528">
      <c r="B528" s="116"/>
    </row>
    <row r="529">
      <c r="B529" s="116"/>
    </row>
    <row r="530">
      <c r="B530" s="116"/>
    </row>
    <row r="531">
      <c r="B531" s="116"/>
    </row>
    <row r="532">
      <c r="B532" s="116"/>
    </row>
    <row r="533">
      <c r="B533" s="116"/>
    </row>
    <row r="534">
      <c r="B534" s="116"/>
    </row>
    <row r="535">
      <c r="B535" s="116"/>
    </row>
    <row r="536">
      <c r="B536" s="116"/>
    </row>
    <row r="537">
      <c r="B537" s="116"/>
    </row>
    <row r="538">
      <c r="B538" s="116"/>
    </row>
    <row r="539">
      <c r="B539" s="116"/>
    </row>
    <row r="540">
      <c r="B540" s="116"/>
    </row>
    <row r="541">
      <c r="B541" s="116"/>
    </row>
    <row r="542">
      <c r="B542" s="116"/>
    </row>
    <row r="543">
      <c r="B543" s="116"/>
    </row>
    <row r="544">
      <c r="B544" s="116"/>
    </row>
    <row r="545">
      <c r="B545" s="116"/>
    </row>
    <row r="546">
      <c r="B546" s="116"/>
    </row>
    <row r="547">
      <c r="B547" s="116"/>
    </row>
    <row r="548">
      <c r="B548" s="116"/>
    </row>
    <row r="549">
      <c r="B549" s="116"/>
    </row>
    <row r="550">
      <c r="B550" s="116"/>
    </row>
    <row r="551">
      <c r="B551" s="116"/>
    </row>
    <row r="552">
      <c r="B552" s="116"/>
    </row>
    <row r="553">
      <c r="B553" s="116"/>
    </row>
    <row r="554">
      <c r="B554" s="116"/>
    </row>
    <row r="555">
      <c r="B555" s="116"/>
    </row>
    <row r="556">
      <c r="B556" s="116"/>
    </row>
    <row r="557">
      <c r="B557" s="116"/>
    </row>
    <row r="558">
      <c r="B558" s="116"/>
    </row>
    <row r="559">
      <c r="B559" s="116"/>
    </row>
    <row r="560">
      <c r="B560" s="116"/>
    </row>
    <row r="561">
      <c r="B561" s="116"/>
    </row>
    <row r="562">
      <c r="B562" s="116"/>
    </row>
    <row r="563">
      <c r="B563" s="116"/>
    </row>
    <row r="564">
      <c r="B564" s="116"/>
    </row>
    <row r="565">
      <c r="B565" s="116"/>
    </row>
    <row r="566">
      <c r="B566" s="116"/>
    </row>
    <row r="567">
      <c r="B567" s="116"/>
    </row>
    <row r="568">
      <c r="B568" s="116"/>
    </row>
    <row r="569">
      <c r="B569" s="116"/>
    </row>
    <row r="570">
      <c r="B570" s="116"/>
    </row>
    <row r="571">
      <c r="B571" s="116"/>
    </row>
    <row r="572">
      <c r="B572" s="116"/>
    </row>
    <row r="573">
      <c r="B573" s="116"/>
    </row>
    <row r="574">
      <c r="B574" s="116"/>
    </row>
    <row r="575">
      <c r="B575" s="116"/>
    </row>
    <row r="576">
      <c r="B576" s="116"/>
    </row>
    <row r="577">
      <c r="B577" s="116"/>
    </row>
    <row r="578">
      <c r="B578" s="116"/>
    </row>
    <row r="579">
      <c r="B579" s="116"/>
    </row>
    <row r="580">
      <c r="B580" s="116"/>
    </row>
    <row r="581">
      <c r="B581" s="116"/>
    </row>
    <row r="582">
      <c r="B582" s="116"/>
    </row>
    <row r="583">
      <c r="B583" s="116"/>
    </row>
    <row r="584">
      <c r="B584" s="116"/>
    </row>
    <row r="585">
      <c r="B585" s="116"/>
    </row>
    <row r="586">
      <c r="B586" s="116"/>
    </row>
    <row r="587">
      <c r="B587" s="116"/>
    </row>
    <row r="588">
      <c r="B588" s="116"/>
    </row>
    <row r="589">
      <c r="B589" s="116"/>
    </row>
    <row r="590">
      <c r="B590" s="116"/>
    </row>
    <row r="591">
      <c r="B591" s="116"/>
    </row>
    <row r="592">
      <c r="B592" s="116"/>
    </row>
    <row r="593">
      <c r="B593" s="116"/>
    </row>
    <row r="594">
      <c r="B594" s="116"/>
    </row>
    <row r="595">
      <c r="B595" s="116"/>
    </row>
    <row r="596">
      <c r="B596" s="116"/>
    </row>
    <row r="597">
      <c r="B597" s="116"/>
    </row>
    <row r="598">
      <c r="B598" s="116"/>
    </row>
    <row r="599">
      <c r="B599" s="116"/>
    </row>
    <row r="600">
      <c r="B600" s="116"/>
    </row>
    <row r="601">
      <c r="B601" s="116"/>
    </row>
    <row r="602">
      <c r="B602" s="116"/>
    </row>
    <row r="603">
      <c r="B603" s="116"/>
    </row>
    <row r="604">
      <c r="B604" s="116"/>
    </row>
    <row r="605">
      <c r="B605" s="116"/>
    </row>
    <row r="606">
      <c r="B606" s="116"/>
    </row>
    <row r="607">
      <c r="B607" s="116"/>
    </row>
    <row r="608">
      <c r="B608" s="116"/>
    </row>
    <row r="609">
      <c r="B609" s="116"/>
    </row>
    <row r="610">
      <c r="B610" s="116"/>
    </row>
    <row r="611">
      <c r="B611" s="116"/>
    </row>
    <row r="612">
      <c r="B612" s="116"/>
    </row>
    <row r="613">
      <c r="B613" s="116"/>
    </row>
    <row r="614">
      <c r="B614" s="116"/>
    </row>
    <row r="615">
      <c r="B615" s="116"/>
    </row>
    <row r="616">
      <c r="B616" s="116"/>
    </row>
    <row r="617">
      <c r="B617" s="116"/>
    </row>
    <row r="618">
      <c r="B618" s="116"/>
    </row>
    <row r="619">
      <c r="B619" s="116"/>
    </row>
    <row r="620">
      <c r="B620" s="116"/>
    </row>
    <row r="621">
      <c r="B621" s="116"/>
    </row>
    <row r="622">
      <c r="B622" s="116"/>
    </row>
    <row r="623">
      <c r="B623" s="116"/>
    </row>
    <row r="624">
      <c r="B624" s="116"/>
    </row>
    <row r="625">
      <c r="B625" s="116"/>
    </row>
    <row r="626">
      <c r="B626" s="116"/>
    </row>
    <row r="627">
      <c r="B627" s="116"/>
    </row>
    <row r="628">
      <c r="B628" s="116"/>
    </row>
    <row r="629">
      <c r="B629" s="116"/>
    </row>
    <row r="630">
      <c r="B630" s="116"/>
    </row>
    <row r="631">
      <c r="B631" s="116"/>
    </row>
    <row r="632">
      <c r="B632" s="116"/>
    </row>
    <row r="633">
      <c r="B633" s="116"/>
    </row>
    <row r="634">
      <c r="B634" s="116"/>
    </row>
    <row r="635">
      <c r="B635" s="116"/>
    </row>
    <row r="636">
      <c r="B636" s="116"/>
    </row>
    <row r="637">
      <c r="B637" s="116"/>
    </row>
    <row r="638">
      <c r="B638" s="116"/>
    </row>
    <row r="639">
      <c r="B639" s="116"/>
    </row>
    <row r="640">
      <c r="B640" s="116"/>
    </row>
    <row r="641">
      <c r="B641" s="116"/>
    </row>
    <row r="642">
      <c r="B642" s="116"/>
    </row>
    <row r="643">
      <c r="B643" s="116"/>
    </row>
    <row r="644">
      <c r="B644" s="116"/>
    </row>
    <row r="645">
      <c r="B645" s="116"/>
    </row>
    <row r="646">
      <c r="B646" s="116"/>
    </row>
    <row r="647">
      <c r="B647" s="116"/>
    </row>
    <row r="648">
      <c r="B648" s="116"/>
    </row>
    <row r="649">
      <c r="B649" s="116"/>
    </row>
    <row r="650">
      <c r="B650" s="116"/>
    </row>
    <row r="651">
      <c r="B651" s="116"/>
    </row>
    <row r="652">
      <c r="B652" s="116"/>
    </row>
    <row r="653">
      <c r="B653" s="116"/>
    </row>
    <row r="654">
      <c r="B654" s="116"/>
    </row>
    <row r="655">
      <c r="B655" s="116"/>
    </row>
    <row r="656">
      <c r="B656" s="116"/>
    </row>
    <row r="657">
      <c r="B657" s="116"/>
    </row>
    <row r="658">
      <c r="B658" s="116"/>
    </row>
    <row r="659">
      <c r="B659" s="116"/>
    </row>
    <row r="660">
      <c r="B660" s="116"/>
    </row>
    <row r="661">
      <c r="B661" s="116"/>
    </row>
    <row r="662">
      <c r="B662" s="116"/>
    </row>
    <row r="663">
      <c r="B663" s="116"/>
    </row>
    <row r="664">
      <c r="B664" s="116"/>
    </row>
    <row r="665">
      <c r="B665" s="116"/>
    </row>
    <row r="666">
      <c r="B666" s="116"/>
    </row>
    <row r="667">
      <c r="B667" s="116"/>
    </row>
    <row r="668">
      <c r="B668" s="116"/>
    </row>
    <row r="669">
      <c r="B669" s="116"/>
    </row>
    <row r="670">
      <c r="B670" s="116"/>
    </row>
    <row r="671">
      <c r="B671" s="116"/>
    </row>
    <row r="672">
      <c r="B672" s="116"/>
    </row>
    <row r="673">
      <c r="B673" s="116"/>
    </row>
    <row r="674">
      <c r="B674" s="116"/>
    </row>
    <row r="675">
      <c r="B675" s="116"/>
    </row>
    <row r="676">
      <c r="B676" s="116"/>
    </row>
    <row r="677">
      <c r="B677" s="116"/>
    </row>
    <row r="678">
      <c r="B678" s="116"/>
    </row>
    <row r="679">
      <c r="B679" s="116"/>
    </row>
    <row r="680">
      <c r="B680" s="116"/>
    </row>
    <row r="681">
      <c r="B681" s="116"/>
    </row>
    <row r="682">
      <c r="B682" s="116"/>
    </row>
    <row r="683">
      <c r="B683" s="116"/>
    </row>
    <row r="684">
      <c r="B684" s="116"/>
    </row>
    <row r="685">
      <c r="B685" s="116"/>
    </row>
    <row r="686">
      <c r="B686" s="116"/>
    </row>
    <row r="687">
      <c r="B687" s="116"/>
    </row>
    <row r="688">
      <c r="B688" s="116"/>
    </row>
    <row r="689">
      <c r="B689" s="116"/>
    </row>
    <row r="690">
      <c r="B690" s="116"/>
    </row>
    <row r="691">
      <c r="B691" s="116"/>
    </row>
    <row r="692">
      <c r="B692" s="116"/>
    </row>
    <row r="693">
      <c r="B693" s="116"/>
    </row>
    <row r="694">
      <c r="B694" s="116"/>
    </row>
    <row r="695">
      <c r="B695" s="116"/>
    </row>
    <row r="696">
      <c r="B696" s="116"/>
    </row>
    <row r="697">
      <c r="B697" s="116"/>
    </row>
    <row r="698">
      <c r="B698" s="116"/>
    </row>
    <row r="699">
      <c r="B699" s="116"/>
    </row>
    <row r="700">
      <c r="B700" s="116"/>
    </row>
    <row r="701">
      <c r="B701" s="116"/>
    </row>
    <row r="702">
      <c r="B702" s="116"/>
    </row>
    <row r="703">
      <c r="B703" s="116"/>
    </row>
    <row r="704">
      <c r="B704" s="116"/>
    </row>
    <row r="705">
      <c r="B705" s="116"/>
    </row>
    <row r="706">
      <c r="B706" s="116"/>
    </row>
    <row r="707">
      <c r="B707" s="116"/>
    </row>
    <row r="708">
      <c r="B708" s="116"/>
    </row>
    <row r="709">
      <c r="B709" s="116"/>
    </row>
    <row r="710">
      <c r="B710" s="116"/>
    </row>
    <row r="711">
      <c r="B711" s="116"/>
    </row>
    <row r="712">
      <c r="B712" s="116"/>
    </row>
    <row r="713">
      <c r="B713" s="116"/>
    </row>
    <row r="714">
      <c r="B714" s="116"/>
    </row>
    <row r="715">
      <c r="B715" s="116"/>
    </row>
    <row r="716">
      <c r="B716" s="116"/>
    </row>
    <row r="717">
      <c r="B717" s="116"/>
    </row>
    <row r="718">
      <c r="B718" s="116"/>
    </row>
    <row r="719">
      <c r="B719" s="116"/>
    </row>
    <row r="720">
      <c r="B720" s="116"/>
    </row>
    <row r="721">
      <c r="B721" s="116"/>
    </row>
    <row r="722">
      <c r="B722" s="116"/>
    </row>
    <row r="723">
      <c r="B723" s="116"/>
    </row>
    <row r="724">
      <c r="B724" s="116"/>
    </row>
    <row r="725">
      <c r="B725" s="116"/>
    </row>
    <row r="726">
      <c r="B726" s="116"/>
    </row>
    <row r="727">
      <c r="B727" s="116"/>
    </row>
    <row r="728">
      <c r="B728" s="116"/>
    </row>
    <row r="729">
      <c r="B729" s="116"/>
    </row>
    <row r="730">
      <c r="B730" s="116"/>
    </row>
    <row r="731">
      <c r="B731" s="116"/>
    </row>
    <row r="732">
      <c r="B732" s="116"/>
    </row>
    <row r="733">
      <c r="B733" s="116"/>
    </row>
    <row r="734">
      <c r="B734" s="116"/>
    </row>
    <row r="735">
      <c r="B735" s="116"/>
    </row>
    <row r="736">
      <c r="B736" s="116"/>
    </row>
    <row r="737">
      <c r="B737" s="116"/>
    </row>
    <row r="738">
      <c r="B738" s="116"/>
    </row>
    <row r="739">
      <c r="B739" s="116"/>
    </row>
    <row r="740">
      <c r="B740" s="116"/>
    </row>
    <row r="741">
      <c r="B741" s="116"/>
    </row>
    <row r="742">
      <c r="B742" s="116"/>
    </row>
    <row r="743">
      <c r="B743" s="116"/>
    </row>
    <row r="744">
      <c r="B744" s="116"/>
    </row>
    <row r="745">
      <c r="B745" s="116"/>
    </row>
    <row r="746">
      <c r="B746" s="116"/>
    </row>
    <row r="747">
      <c r="B747" s="116"/>
    </row>
    <row r="748">
      <c r="B748" s="116"/>
    </row>
    <row r="749">
      <c r="B749" s="116"/>
    </row>
    <row r="750">
      <c r="B750" s="116"/>
    </row>
    <row r="751">
      <c r="B751" s="116"/>
    </row>
    <row r="752">
      <c r="B752" s="116"/>
    </row>
    <row r="753">
      <c r="B753" s="116"/>
    </row>
    <row r="754">
      <c r="B754" s="116"/>
    </row>
    <row r="755">
      <c r="B755" s="116"/>
    </row>
    <row r="756">
      <c r="B756" s="116"/>
    </row>
    <row r="757">
      <c r="B757" s="116"/>
    </row>
    <row r="758">
      <c r="B758" s="116"/>
    </row>
    <row r="759">
      <c r="B759" s="116"/>
    </row>
    <row r="760">
      <c r="B760" s="116"/>
    </row>
    <row r="761">
      <c r="B761" s="116"/>
    </row>
    <row r="762">
      <c r="B762" s="116"/>
    </row>
    <row r="763">
      <c r="B763" s="116"/>
    </row>
    <row r="764">
      <c r="B764" s="116"/>
    </row>
    <row r="765">
      <c r="B765" s="116"/>
    </row>
    <row r="766">
      <c r="B766" s="116"/>
    </row>
    <row r="767">
      <c r="B767" s="116"/>
    </row>
    <row r="768">
      <c r="B768" s="116"/>
    </row>
    <row r="769">
      <c r="B769" s="116"/>
    </row>
    <row r="770">
      <c r="B770" s="116"/>
    </row>
    <row r="771">
      <c r="B771" s="116"/>
    </row>
    <row r="772">
      <c r="B772" s="116"/>
    </row>
    <row r="773">
      <c r="B773" s="116"/>
    </row>
    <row r="774">
      <c r="B774" s="116"/>
    </row>
    <row r="775">
      <c r="B775" s="116"/>
    </row>
    <row r="776">
      <c r="B776" s="116"/>
    </row>
    <row r="777">
      <c r="B777" s="116"/>
    </row>
    <row r="778">
      <c r="B778" s="116"/>
    </row>
    <row r="779">
      <c r="B779" s="116"/>
    </row>
    <row r="780">
      <c r="B780" s="116"/>
    </row>
    <row r="781">
      <c r="B781" s="116"/>
    </row>
    <row r="782">
      <c r="B782" s="116"/>
    </row>
    <row r="783">
      <c r="B783" s="116"/>
    </row>
    <row r="784">
      <c r="B784" s="116"/>
    </row>
    <row r="785">
      <c r="B785" s="116"/>
    </row>
    <row r="786">
      <c r="B786" s="116"/>
    </row>
    <row r="787">
      <c r="B787" s="116"/>
    </row>
    <row r="788">
      <c r="B788" s="116"/>
    </row>
    <row r="789">
      <c r="B789" s="116"/>
    </row>
    <row r="790">
      <c r="B790" s="116"/>
    </row>
    <row r="791">
      <c r="B791" s="116"/>
    </row>
    <row r="792">
      <c r="B792" s="116"/>
    </row>
    <row r="793">
      <c r="B793" s="116"/>
    </row>
    <row r="794">
      <c r="B794" s="116"/>
    </row>
    <row r="795">
      <c r="B795" s="116"/>
    </row>
    <row r="796">
      <c r="B796" s="116"/>
    </row>
    <row r="797">
      <c r="B797" s="116"/>
    </row>
    <row r="798">
      <c r="B798" s="116"/>
    </row>
    <row r="799">
      <c r="B799" s="116"/>
    </row>
    <row r="800">
      <c r="B800" s="116"/>
    </row>
    <row r="801">
      <c r="B801" s="116"/>
    </row>
    <row r="802">
      <c r="B802" s="116"/>
    </row>
    <row r="803">
      <c r="B803" s="116"/>
    </row>
    <row r="804">
      <c r="B804" s="116"/>
    </row>
    <row r="805">
      <c r="B805" s="116"/>
    </row>
    <row r="806">
      <c r="B806" s="116"/>
    </row>
    <row r="807">
      <c r="B807" s="116"/>
    </row>
    <row r="808">
      <c r="B808" s="116"/>
    </row>
    <row r="809">
      <c r="B809" s="116"/>
    </row>
    <row r="810">
      <c r="B810" s="116"/>
    </row>
    <row r="811">
      <c r="B811" s="116"/>
    </row>
    <row r="812">
      <c r="B812" s="116"/>
    </row>
    <row r="813">
      <c r="B813" s="116"/>
    </row>
    <row r="814">
      <c r="B814" s="116"/>
    </row>
    <row r="815">
      <c r="B815" s="116"/>
    </row>
    <row r="816">
      <c r="B816" s="116"/>
    </row>
    <row r="817">
      <c r="B817" s="116"/>
    </row>
    <row r="818">
      <c r="B818" s="116"/>
    </row>
    <row r="819">
      <c r="B819" s="116"/>
    </row>
    <row r="820">
      <c r="B820" s="116"/>
    </row>
    <row r="821">
      <c r="B821" s="116"/>
    </row>
    <row r="822">
      <c r="B822" s="116"/>
    </row>
    <row r="823">
      <c r="B823" s="116"/>
    </row>
    <row r="824">
      <c r="B824" s="116"/>
    </row>
    <row r="825">
      <c r="B825" s="116"/>
    </row>
    <row r="826">
      <c r="B826" s="116"/>
    </row>
    <row r="827">
      <c r="B827" s="116"/>
    </row>
    <row r="828">
      <c r="B828" s="116"/>
    </row>
    <row r="829">
      <c r="B829" s="116"/>
    </row>
    <row r="830">
      <c r="B830" s="116"/>
    </row>
    <row r="831">
      <c r="B831" s="116"/>
    </row>
    <row r="832">
      <c r="B832" s="116"/>
    </row>
    <row r="833">
      <c r="B833" s="116"/>
    </row>
    <row r="834">
      <c r="B834" s="116"/>
    </row>
    <row r="835">
      <c r="B835" s="116"/>
    </row>
    <row r="836">
      <c r="B836" s="116"/>
    </row>
    <row r="837">
      <c r="B837" s="116"/>
    </row>
    <row r="838">
      <c r="B838" s="116"/>
    </row>
    <row r="839">
      <c r="B839" s="116"/>
    </row>
    <row r="840">
      <c r="B840" s="116"/>
    </row>
    <row r="841">
      <c r="B841" s="116"/>
    </row>
    <row r="842">
      <c r="B842" s="116"/>
    </row>
    <row r="843">
      <c r="B843" s="116"/>
    </row>
    <row r="844">
      <c r="B844" s="116"/>
    </row>
    <row r="845">
      <c r="B845" s="116"/>
    </row>
    <row r="846">
      <c r="B846" s="116"/>
    </row>
    <row r="847">
      <c r="B847" s="116"/>
    </row>
    <row r="848">
      <c r="B848" s="116"/>
    </row>
    <row r="849">
      <c r="B849" s="116"/>
    </row>
    <row r="850">
      <c r="B850" s="116"/>
    </row>
    <row r="851">
      <c r="B851" s="116"/>
    </row>
    <row r="852">
      <c r="B852" s="116"/>
    </row>
    <row r="853">
      <c r="B853" s="116"/>
    </row>
    <row r="854">
      <c r="B854" s="116"/>
    </row>
    <row r="855">
      <c r="B855" s="116"/>
    </row>
    <row r="856">
      <c r="B856" s="116"/>
    </row>
    <row r="857">
      <c r="B857" s="116"/>
    </row>
    <row r="858">
      <c r="B858" s="116"/>
    </row>
    <row r="859">
      <c r="B859" s="116"/>
    </row>
    <row r="860">
      <c r="B860" s="116"/>
    </row>
    <row r="861">
      <c r="B861" s="116"/>
    </row>
    <row r="862">
      <c r="B862" s="116"/>
    </row>
    <row r="863">
      <c r="B863" s="116"/>
    </row>
    <row r="864">
      <c r="B864" s="116"/>
    </row>
    <row r="865">
      <c r="B865" s="116"/>
    </row>
    <row r="866">
      <c r="B866" s="116"/>
    </row>
    <row r="867">
      <c r="B867" s="116"/>
    </row>
    <row r="868">
      <c r="B868" s="116"/>
    </row>
    <row r="869">
      <c r="B869" s="116"/>
    </row>
    <row r="870">
      <c r="B870" s="116"/>
    </row>
    <row r="871">
      <c r="B871" s="116"/>
    </row>
    <row r="872">
      <c r="B872" s="116"/>
    </row>
    <row r="873">
      <c r="B873" s="116"/>
    </row>
    <row r="874">
      <c r="B874" s="116"/>
    </row>
    <row r="875">
      <c r="B875" s="116"/>
    </row>
    <row r="876">
      <c r="B876" s="116"/>
    </row>
    <row r="877">
      <c r="B877" s="116"/>
    </row>
    <row r="878">
      <c r="B878" s="116"/>
    </row>
    <row r="879">
      <c r="B879" s="116"/>
    </row>
    <row r="880">
      <c r="B880" s="116"/>
    </row>
    <row r="881">
      <c r="B881" s="116"/>
    </row>
    <row r="882">
      <c r="B882" s="116"/>
    </row>
    <row r="883">
      <c r="B883" s="116"/>
    </row>
    <row r="884">
      <c r="B884" s="116"/>
    </row>
    <row r="885">
      <c r="B885" s="116"/>
    </row>
    <row r="886">
      <c r="B886" s="116"/>
    </row>
    <row r="887">
      <c r="B887" s="116"/>
    </row>
    <row r="888">
      <c r="B888" s="116"/>
    </row>
    <row r="889">
      <c r="B889" s="116"/>
    </row>
    <row r="890">
      <c r="B890" s="116"/>
    </row>
    <row r="891">
      <c r="B891" s="116"/>
    </row>
    <row r="892">
      <c r="B892" s="116"/>
    </row>
    <row r="893">
      <c r="B893" s="116"/>
    </row>
    <row r="894">
      <c r="B894" s="116"/>
    </row>
    <row r="895">
      <c r="B895" s="116"/>
    </row>
    <row r="896">
      <c r="B896" s="116"/>
    </row>
    <row r="897">
      <c r="B897" s="116"/>
    </row>
    <row r="898">
      <c r="B898" s="116"/>
    </row>
    <row r="899">
      <c r="B899" s="116"/>
    </row>
    <row r="900">
      <c r="B900" s="116"/>
    </row>
    <row r="901">
      <c r="B901" s="116"/>
    </row>
    <row r="902">
      <c r="B902" s="116"/>
    </row>
    <row r="903">
      <c r="B903" s="116"/>
    </row>
    <row r="904">
      <c r="B904" s="116"/>
    </row>
    <row r="905">
      <c r="B905" s="116"/>
    </row>
    <row r="906">
      <c r="B906" s="116"/>
    </row>
    <row r="907">
      <c r="B907" s="116"/>
    </row>
    <row r="908">
      <c r="B908" s="116"/>
    </row>
    <row r="909">
      <c r="B909" s="116"/>
    </row>
    <row r="910">
      <c r="B910" s="116"/>
    </row>
    <row r="911">
      <c r="B911" s="116"/>
    </row>
    <row r="912">
      <c r="B912" s="116"/>
    </row>
    <row r="913">
      <c r="B913" s="116"/>
    </row>
    <row r="914">
      <c r="B914" s="116"/>
    </row>
    <row r="915">
      <c r="B915" s="116"/>
    </row>
    <row r="916">
      <c r="B916" s="116"/>
    </row>
    <row r="917">
      <c r="B917" s="116"/>
    </row>
    <row r="918">
      <c r="B918" s="116"/>
    </row>
    <row r="919">
      <c r="B919" s="116"/>
    </row>
    <row r="920">
      <c r="B920" s="116"/>
    </row>
    <row r="921">
      <c r="B921" s="116"/>
    </row>
    <row r="922">
      <c r="B922" s="116"/>
    </row>
    <row r="923">
      <c r="B923" s="116"/>
    </row>
    <row r="924">
      <c r="B924" s="116"/>
    </row>
    <row r="925">
      <c r="B925" s="116"/>
    </row>
    <row r="926">
      <c r="B926" s="116"/>
    </row>
    <row r="927">
      <c r="B927" s="116"/>
    </row>
    <row r="928">
      <c r="B928" s="116"/>
    </row>
    <row r="929">
      <c r="B929" s="116"/>
    </row>
    <row r="930">
      <c r="B930" s="116"/>
    </row>
    <row r="931">
      <c r="B931" s="116"/>
    </row>
    <row r="932">
      <c r="B932" s="116"/>
    </row>
    <row r="933">
      <c r="B933" s="116"/>
    </row>
    <row r="934">
      <c r="B934" s="116"/>
    </row>
    <row r="935">
      <c r="B935" s="116"/>
    </row>
    <row r="936">
      <c r="B936" s="116"/>
    </row>
    <row r="937">
      <c r="B937" s="116"/>
    </row>
    <row r="938">
      <c r="B938" s="116"/>
    </row>
    <row r="939">
      <c r="B939" s="116"/>
    </row>
    <row r="940">
      <c r="B940" s="116"/>
    </row>
    <row r="941">
      <c r="B941" s="116"/>
    </row>
    <row r="942">
      <c r="B942" s="116"/>
    </row>
    <row r="943">
      <c r="B943" s="116"/>
    </row>
    <row r="944">
      <c r="B944" s="116"/>
    </row>
    <row r="945">
      <c r="B945" s="116"/>
    </row>
    <row r="946">
      <c r="B946" s="116"/>
    </row>
    <row r="947">
      <c r="B947" s="116"/>
    </row>
    <row r="948">
      <c r="B948" s="116"/>
    </row>
    <row r="949">
      <c r="B949" s="116"/>
    </row>
    <row r="950">
      <c r="B950" s="116"/>
    </row>
    <row r="951">
      <c r="B951" s="116"/>
    </row>
    <row r="952">
      <c r="B952" s="116"/>
    </row>
    <row r="953">
      <c r="B953" s="116"/>
    </row>
    <row r="954">
      <c r="B954" s="116"/>
    </row>
    <row r="955">
      <c r="B955" s="116"/>
    </row>
    <row r="956">
      <c r="B956" s="116"/>
    </row>
    <row r="957">
      <c r="B957" s="116"/>
    </row>
    <row r="958">
      <c r="B958" s="116"/>
    </row>
    <row r="959">
      <c r="B959" s="116"/>
    </row>
    <row r="960">
      <c r="B960" s="116"/>
    </row>
    <row r="961">
      <c r="B961" s="116"/>
    </row>
    <row r="962">
      <c r="B962" s="116"/>
    </row>
    <row r="963">
      <c r="B963" s="116"/>
    </row>
    <row r="964">
      <c r="B964" s="116"/>
    </row>
    <row r="965">
      <c r="B965" s="116"/>
    </row>
    <row r="966">
      <c r="B966" s="116"/>
    </row>
    <row r="967">
      <c r="B967" s="116"/>
    </row>
    <row r="968">
      <c r="B968" s="116"/>
    </row>
    <row r="969">
      <c r="B969" s="116"/>
    </row>
    <row r="970">
      <c r="B970" s="116"/>
    </row>
    <row r="971">
      <c r="B971" s="116"/>
    </row>
    <row r="972">
      <c r="B972" s="116"/>
    </row>
    <row r="973">
      <c r="B973" s="116"/>
    </row>
    <row r="974">
      <c r="B974" s="116"/>
    </row>
    <row r="975">
      <c r="B975" s="116"/>
    </row>
    <row r="976">
      <c r="B976" s="116"/>
    </row>
    <row r="977">
      <c r="B977" s="116"/>
    </row>
    <row r="978">
      <c r="B978" s="116"/>
    </row>
    <row r="979">
      <c r="B979" s="116"/>
    </row>
    <row r="980">
      <c r="B980" s="116"/>
    </row>
    <row r="981">
      <c r="B981" s="116"/>
    </row>
    <row r="982">
      <c r="B982" s="116"/>
    </row>
    <row r="983">
      <c r="B983" s="116"/>
    </row>
    <row r="984">
      <c r="B984" s="116"/>
    </row>
    <row r="985">
      <c r="B985" s="116"/>
    </row>
    <row r="986">
      <c r="B986" s="116"/>
    </row>
    <row r="987">
      <c r="B987" s="116"/>
    </row>
    <row r="988">
      <c r="B988" s="116"/>
    </row>
    <row r="989">
      <c r="B989" s="116"/>
    </row>
    <row r="990">
      <c r="B990" s="116"/>
    </row>
    <row r="991">
      <c r="B991" s="116"/>
    </row>
    <row r="992">
      <c r="B992" s="116"/>
    </row>
    <row r="993">
      <c r="B993" s="116"/>
    </row>
    <row r="994">
      <c r="B994" s="116"/>
    </row>
    <row r="995">
      <c r="B995" s="116"/>
    </row>
    <row r="996">
      <c r="B996" s="116"/>
    </row>
  </sheetData>
  <dataValidations>
    <dataValidation type="list" allowBlank="1" showErrorMessage="1" sqref="K2:K116">
      <formula1>"Rejected,Approved,Pending"</formula1>
    </dataValidation>
  </dataValidations>
  <drawing r:id="rId2"/>
  <legacyDrawing r:id="rId3"/>
  <tableParts count="1">
    <tablePart r:id="rId5"/>
  </tableParts>
</worksheet>
</file>